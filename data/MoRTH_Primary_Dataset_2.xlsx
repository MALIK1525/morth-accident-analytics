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" sheetId="2" state="visible" r:id="rId4"/>
    <sheet name="CLEAN" sheetId="3" state="visible" r:id="rId5"/>
    <sheet name="DATA_DICTIONARY" sheetId="4" state="visible" r:id="rId6"/>
    <sheet name="DATA_QUALITY" sheetId="5" state="visible" r:id="rId7"/>
    <sheet name="VALIDATION" sheetId="6" state="visible" r:id="rId8"/>
    <sheet name="SOURCE_VINTAGE_COMPARISON" sheetId="7" state="visible" r:id="rId9"/>
    <sheet name="SUPPORTING_INVENTO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<sst xmlns="http://schemas.openxmlformats.org/spreadsheetml/2006/main" count="971" uniqueCount="385">
  <si>
    <t xml:space="preserve">MoRTH Road Accidents — Primary Dataset (State x Year: Accidents, Fatalities, Injuries) — v2 (2020-22 gap closed for Accidents &amp; Fatalities)</t>
  </si>
  <si>
    <t xml:space="preserve">UPDATE FROM v1: state-wise Accidents and Fatalities for 2020, 2021 and 2022 are now COMPLETE (36 units each),</t>
  </si>
  <si>
    <t xml:space="preserve">   sourced from Lok Sabha Unstarred Question No. 1612, answered 05-12-2024 (eparlib.sansad.in), which republishes</t>
  </si>
  <si>
    <t xml:space="preserve">   the full state-wise Annexure -I (Accidents) and Annexure -II (Fatalities) for 2020-2022 in one document.</t>
  </si>
  <si>
    <t xml:space="preserve">   This closes the single largest gap flagged after v1.</t>
  </si>
  <si>
    <t xml:space="preserve">STILL INCOMPLETE: state-wise Injuries for 2020 (8 of 36 units only, from a DIFFERENT report vintage - PQ 255,</t>
  </si>
  <si>
    <t xml:space="preserve">   answered 22-12-2021) and for 2021-2022 (0 of 36 units - no official state-wise table found in this session).</t>
  </si>
  <si>
    <t xml:space="preserve">   These are marked NV. Do not treat the workbook as fully complete for Injuries beyond 2018-2019.</t>
  </si>
  <si>
    <t xml:space="preserve">ADMINISTRATIVE STRUCTURE CHANGE (documented, not an extraction error):</t>
  </si>
  <si>
    <t xml:space="preserve">   2018-2019 tables list 37 units, including 'Dadra &amp; Nagar Haveli' and 'Daman &amp; Diu' as two separate UTs, and</t>
  </si>
  <si>
    <t xml:space="preserve">   'Jammu &amp; Kashmir' with a footnote that it includes Ladakh data through 2020.</t>
  </si>
  <si>
    <t xml:space="preserve">   2020-2022 tables list 36 units: 'Dadra &amp; Nagar Haveli' and 'Daman &amp; Diu' were merged into a single UT</t>
  </si>
  <si>
    <t xml:space="preserve">   ('The Dadra and Nagar Haveli and Daman and Diu') effective 26 Jan 2020, and 'Ladakh' appears as its own row</t>
  </si>
  <si>
    <t xml:space="preserve">   from 2021 onward (blank for 2020, per source note 'Includes data of Ladakh for the Year 2020' attached to J&amp;K).</t>
  </si>
  <si>
    <t xml:space="preserve">   This is a real Indian administrative reorganization, not a data error. State-level cross-year comparisons</t>
  </si>
  <si>
    <t xml:space="preserve">   involving these specific units must account for the boundary change - they are NOT directly comparable</t>
  </si>
  <si>
    <t xml:space="preserve">   1-for-1 across the 2019/2020 boundary without noting this.</t>
  </si>
  <si>
    <t xml:space="preserve">PRIMARY SOURCE: Ministry of Road Transport &amp; Highways (MoRTH), "Road Accidents in India" annual report series.</t>
  </si>
  <si>
    <t xml:space="preserve">CROSS-VALIDATED BY: Rajya Sabha Q.1075 (31-07-2024), Q.1855 (07-08-2024), Q.1859 (07-08-2024), Q.2647 (18-12-2024);</t>
  </si>
  <si>
    <t xml:space="preserve">   Lok Sabha Q.1612 (05-12-2024), Q.2832 (12-12-2024); PIB Annexures (Aug 2024). All agree exactly on national totals.</t>
  </si>
  <si>
    <t xml:space="preserve">SUPPORTING (NOT MERGED): NCRB Accidental Deaths &amp; Suicides in India (ADSI) 2023 - kept separate per locked decision.</t>
  </si>
  <si>
    <t xml:space="preserve">VINTAGE NOTE: at least THREE distinct vintages of the same years' figures have been found across different</t>
  </si>
  <si>
    <t xml:space="preserve">   Parliamentary answers over time (see SOURCE_VINTAGE_COMPARISON sheet). This workbook's Accidents/Fatalities for</t>
  </si>
  <si>
    <t xml:space="preserve">   2018-2022 use the LATEST vintage found (2024-25 replies), which is internally consistent across all 5 years.</t>
  </si>
  <si>
    <t xml:space="preserve">   The one exception is the partial 2020 Injuries figures, which come from an EARLIER vintage (2021 reply) because</t>
  </si>
  <si>
    <t xml:space="preserve">   no later-vintage state-wise Injuries table for 2020 was found - this inconsistency is flagged, not hidden.</t>
  </si>
  <si>
    <t xml:space="preserve">SHEETS: RAW | CLEAN | DATA_DICTIONARY | DATA_QUALITY | VALIDATION | SOURCE_VINTAGE_COMPARISON | SUPPORTING_INVENTORY</t>
  </si>
  <si>
    <t xml:space="preserve">No value in this workbook has been estimated, interpolated, or fabricated. Every populated cell traces to a</t>
  </si>
  <si>
    <t xml:space="preserve">specific official document. 'NV' = Not Verified (source may exist but the value was not retrieved this session).</t>
  </si>
  <si>
    <t xml:space="preserve">UPDATE (Annexure-III recovered)</t>
  </si>
  <si>
    <t xml:space="preserve">State-wise INJURED for 2018-2022 is now COMPLETE. Source: Press Information Bureau, Release ID 2042509,</t>
  </si>
  <si>
    <t xml:space="preserve">   posted 07 AUG 2024, reproducing in full the Rajya Sabha Unstarred Question No. 1855 answer including</t>
  </si>
  <si>
    <t xml:space="preserve">   Annexure-I (Accidents), Annexure-II (Fatalities) and Annexure-III (Injuries), each State-wise for 2018-2022.</t>
  </si>
  <si>
    <t xml:space="preserve">   URL: https://www.pib.gov.in/PressReleasePage.aspx?PRID=2042509</t>
  </si>
  <si>
    <t xml:space="preserve">   This is an OFFICIAL Government of India source (PIB), not a mirror or secondary site.</t>
  </si>
  <si>
    <t xml:space="preserve">All five Injured state-sums reconcile to the published India totals with ZERO difference (Checks F, VALIDATION sheet).</t>
  </si>
  <si>
    <t xml:space="preserve">The earlier partial 2020 Injured values (PQ 2813 vintage) have been superseded by Annexure-III for consistency;</t>
  </si>
  <si>
    <t xml:space="preserve">   notably the 8 overlapping state values were identical across both vintages.</t>
  </si>
  <si>
    <t xml:space="preserve">The 2018-2022 core state-year panel is now COMPLETE for all three variables: Accidents, Fatalities, Injured.</t>
  </si>
  <si>
    <t xml:space="preserve">RAW — exactly as extracted from source documents (two blocks: 2018-19 unit list, 2020-22 unit list)</t>
  </si>
  <si>
    <t xml:space="preserve">BLOCK 1: 2018-2019 (37 units) — Source: PIB Annexures I/II/III, Aug 2024 (static.pib.gov.in)</t>
  </si>
  <si>
    <t xml:space="preserve">State_UT_as_published</t>
  </si>
  <si>
    <t xml:space="preserve">Accidents_2018</t>
  </si>
  <si>
    <t xml:space="preserve">Accidents_2019</t>
  </si>
  <si>
    <t xml:space="preserve">Fatalities_2018</t>
  </si>
  <si>
    <t xml:space="preserve">Fatalities_2019</t>
  </si>
  <si>
    <t xml:space="preserve">Injured_2018</t>
  </si>
  <si>
    <t xml:space="preserve">Injured_2019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</si>
  <si>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</si>
  <si>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</si>
  <si>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</si>
  <si>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</si>
  <si>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</si>
  <si>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</si>
  <si>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</si>
  <si>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</si>
  <si>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</si>
  <si>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</si>
  <si>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</si>
  <si>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</si>
  <si>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</si>
  <si>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</si>
  <si>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</si>
  <si>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</si>
  <si>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</si>
  <si>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</si>
  <si>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</si>
  <si>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</si>
  <si>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</si>
  <si>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</si>
  <si>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</si>
  <si>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</si>
  <si>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</si>
  <si>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Uttarakhand</t>
  </si>
  <si>
    <t xml:space="preserve">Uttar Pradesh</t>
  </si>
  <si>
    <t xml:space="preserve">West Bengal</t>
  </si>
  <si>
    <t xml:space="preserve">Andaman &amp; Nicobar Islands</t>
  </si>
  <si>
    <t xml:space="preserve">Chandigarh</t>
  </si>
  <si>
    <t xml:space="preserve">Dadra &amp; Nagar Haveli</t>
  </si>
  <si>
    <t xml:space="preserve">Daman &amp; Diu</t>
  </si>
  <si>
    <t xml:space="preserve">Delhi</t>
  </si>
  <si>
    <t xml:space="preserve">Jammu &amp; Kashmir</t>
  </si>
  <si>
    <t xml:space="preserve">Ladakh</t>
  </si>
  <si>
    <t xml:space="preserve">Lakshadweep</t>
  </si>
  <si>
    <t xml:space="preserve">Puducherry</t>
  </si>
  <si>
    <t xml:space="preserve">BLOCK 2: 2020-2022 (36 units) — Source: Lok Sabha Q.1612, 05-12-2024 (eparlib.sansad.in), Accidents+Fatalities; Injuries partial from PQ 255 (22-12-2021, different vintage)</t>
  </si>
  <si>
    <t xml:space="preserve">Accidents_2020</t>
  </si>
  <si>
    <t xml:space="preserve">Accidents_2021</t>
  </si>
  <si>
    <t xml:space="preserve">Accidents_2022</t>
  </si>
  <si>
    <t xml:space="preserve">Fatalities_2020</t>
  </si>
  <si>
    <t xml:space="preserve">Fatalities_2021</t>
  </si>
  <si>
    <t xml:space="preserve">Fatalities_2022</t>
  </si>
  <si>
    <t xml:space="preserve">Injured_2020_PARTIAL_diff_vintage</t>
  </si>
  <si>
    <t xml:space="preserve">Dadra &amp; Nagar Haveli and Daman &amp; Diu</t>
  </si>
  <si>
    <t xml:space="preserve">India published totals, all years (multiple independent Parliamentary sources agree exactly):</t>
  </si>
  <si>
    <t xml:space="preserve">2018: 470,403 acc / 157,593 fat / 464,715 inj | 2019: 456,959 / 158,984 / 449,360 | 2020: 372,181 / 138,383 / 346,747 | 2021: 412,432 / 153,972 / 384,448 | 2022: 461,312 / 168,491 / 443,366</t>
  </si>
  <si>
    <t xml:space="preserve">CLEAN — standardized state names (2020-22 unit list used as the canonical structure), one row per State-Year</t>
  </si>
  <si>
    <t xml:space="preserve">Year</t>
  </si>
  <si>
    <t xml:space="preserve">India_Accidents</t>
  </si>
  <si>
    <t xml:space="preserve">India_Fatalities</t>
  </si>
  <si>
    <t xml:space="preserve">State_UT</t>
  </si>
  <si>
    <t xml:space="preserve">Accidents</t>
  </si>
  <si>
    <t xml:space="preserve">Fatalities</t>
  </si>
  <si>
    <t xml:space="preserve">Injured</t>
  </si>
  <si>
    <t xml:space="preserve">Fatalities_per_Accident</t>
  </si>
  <si>
    <t xml:space="preserve">Fatalities_per_100_Accidents</t>
  </si>
  <si>
    <t xml:space="preserve">India_Accident_Share_pct</t>
  </si>
  <si>
    <t xml:space="preserve">India_Fatality_Share_pct</t>
  </si>
  <si>
    <t xml:space="preserve">Data_Completeness_Flag</t>
  </si>
  <si>
    <t xml:space="preserve">Admin_Unit_Note</t>
  </si>
  <si>
    <t xml:space="preserve">COMPLETE</t>
  </si>
  <si>
    <t xml:space="preserve">Separate UT pre-2020 merger</t>
  </si>
  <si>
    <t xml:space="preserve">Reported jointly with J&amp;K (pre-2020 structure)</t>
  </si>
  <si>
    <t xml:space="preserve">NV</t>
  </si>
  <si>
    <t xml:space="preserve">BLANK IN SOURCE (admin unit not reporting this year)</t>
  </si>
  <si>
    <t xml:space="preserve">Merged UT ('Dadra and Nagar Haveli and Daman and Diu') from 26-Jan-2020</t>
  </si>
  <si>
    <t xml:space="preserve">Separate row from 2021; blank/merged-with-J&amp;K for 2020</t>
  </si>
  <si>
    <t xml:space="preserve">DATA DICTIONARY</t>
  </si>
  <si>
    <t xml:space="preserve">Column</t>
  </si>
  <si>
    <t xml:space="preserve">Definition</t>
  </si>
  <si>
    <t xml:space="preserve">Unit</t>
  </si>
  <si>
    <t xml:space="preserve">Data type</t>
  </si>
  <si>
    <t xml:space="preserve">Source</t>
  </si>
  <si>
    <t xml:space="preserve">Year coverage</t>
  </si>
  <si>
    <t xml:space="preserve">Geography</t>
  </si>
  <si>
    <t xml:space="preserve">Original variable</t>
  </si>
  <si>
    <t xml:space="preserve">Transformation</t>
  </si>
  <si>
    <t xml:space="preserve">Missing-value meaning</t>
  </si>
  <si>
    <t xml:space="preserve">State/UT name as published in the source for that year block (see Admin_Unit_Note in CLEAN for boundary changes)</t>
  </si>
  <si>
    <t xml:space="preserve">text</t>
  </si>
  <si>
    <t xml:space="preserve">categorical</t>
  </si>
  <si>
    <t xml:space="preserve">MoRTH via PIB / Parliament replies</t>
  </si>
  <si>
    <t xml:space="preserve">2018-2022</t>
  </si>
  <si>
    <t xml:space="preserve">State/UT</t>
  </si>
  <si>
    <t xml:space="preserve">States/UTs</t>
  </si>
  <si>
    <t xml:space="preserve">None</t>
  </si>
  <si>
    <t xml:space="preserve">N/A</t>
  </si>
  <si>
    <t xml:space="preserve">Calendar year</t>
  </si>
  <si>
    <t xml:space="preserve">year</t>
  </si>
  <si>
    <t xml:space="preserve">integer</t>
  </si>
  <si>
    <t xml:space="preserve">-</t>
  </si>
  <si>
    <t xml:space="preserve">Total road accidents reported by State/UT Police</t>
  </si>
  <si>
    <t xml:space="preserve">count</t>
  </si>
  <si>
    <t xml:space="preserve">2018-19: PIB Annexure I (Aug 2024). 2020-22: Lok Sabha Q.1612 (05-12-2024)</t>
  </si>
  <si>
    <t xml:space="preserve">2018-2022, COMPLETE (36-37 units per year)</t>
  </si>
  <si>
    <t xml:space="preserve">Total Number of Road Accidents</t>
  </si>
  <si>
    <t xml:space="preserve">2019 uses LATER vintage (456,959 not 449,002) — see SOURCE_VINTAGE_COMPARISON</t>
  </si>
  <si>
    <t xml:space="preserve">N/A — fully populated</t>
  </si>
  <si>
    <t xml:space="preserve">Persons killed</t>
  </si>
  <si>
    <t xml:space="preserve">count (persons)</t>
  </si>
  <si>
    <t xml:space="preserve">2018-19: PIB Annexure II. 2020-22: Lok Sabha Q.1612</t>
  </si>
  <si>
    <t xml:space="preserve">2018-2022, COMPLETE</t>
  </si>
  <si>
    <t xml:space="preserve">Persons Killed</t>
  </si>
  <si>
    <t xml:space="preserve">Same vintage note as Accidents</t>
  </si>
  <si>
    <t xml:space="preserve">Persons injured (grievous+minor)</t>
  </si>
  <si>
    <t xml:space="preserve">2018-19: PIB Annexure III. 2020: PQ 255 (22-12-2021, DIFFERENT/earlier vintage, 8 of 36 units only). 2021-22: not found.</t>
  </si>
  <si>
    <t xml:space="preserve">2018-2019 COMPLETE; 2020 PARTIAL (8/36); 2021-2022 NOT VERIFIED</t>
  </si>
  <si>
    <t xml:space="preserve">Persons Injured</t>
  </si>
  <si>
    <t xml:space="preserve">2020 values are from an earlier report vintage than Accidents/Fatalities for the same year — flagged inconsistency, not reconciled</t>
  </si>
  <si>
    <t xml:space="preserve">'NV' = not yet verified/retrieved</t>
  </si>
  <si>
    <t xml:space="preserve">Fatalities / Accidents, same State-Year</t>
  </si>
  <si>
    <t xml:space="preserve">ratio</t>
  </si>
  <si>
    <t xml:space="preserve">decimal</t>
  </si>
  <si>
    <t xml:space="preserve">Derived</t>
  </si>
  <si>
    <t xml:space="preserve">Same as inputs</t>
  </si>
  <si>
    <t xml:space="preserve">Division</t>
  </si>
  <si>
    <t xml:space="preserve">'NV' if either input NV</t>
  </si>
  <si>
    <t xml:space="preserve">Fatalities_per_Accident x 100</t>
  </si>
  <si>
    <t xml:space="preserve">deaths/100 accidents</t>
  </si>
  <si>
    <t xml:space="preserve">x100</t>
  </si>
  <si>
    <t xml:space="preserve">State Accidents / India Accidents (same year) x 100 — NOT a 'rate' (no exposure denominator)</t>
  </si>
  <si>
    <t xml:space="preserve">% of national total</t>
  </si>
  <si>
    <t xml:space="preserve">State/UT vs India</t>
  </si>
  <si>
    <t xml:space="preserve">Division x100 vs published India total</t>
  </si>
  <si>
    <t xml:space="preserve">'NV' if state Accidents NV</t>
  </si>
  <si>
    <t xml:space="preserve">State Fatalities / India Fatalities (same year) x 100 — NOT a 'rate'</t>
  </si>
  <si>
    <t xml:space="preserve">'NV' if state Fatalities NV</t>
  </si>
  <si>
    <t xml:space="preserve">COMPLETE / PARTIAL / NOT VERIFIED per row</t>
  </si>
  <si>
    <t xml:space="preserve">Derived (this project)</t>
  </si>
  <si>
    <t xml:space="preserve">Rule-based</t>
  </si>
  <si>
    <t xml:space="preserve">Flags rows affected by the 2020 UT reorganization (Dadra &amp; Nagar Haveli + Daman &amp; Diu merger; Ladakh split from J&amp;K)</t>
  </si>
  <si>
    <t xml:space="preserve">Derived (this project), based on source footnotes</t>
  </si>
  <si>
    <t xml:space="preserve">Blank = no boundary issue</t>
  </si>
  <si>
    <t xml:space="preserve">DATA QUALITY REPORT (v2)</t>
  </si>
  <si>
    <t xml:space="preserve">COVERAGE MATRIX</t>
  </si>
  <si>
    <t xml:space="preserve">Variable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</si>
  <si>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</si>
  <si>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</si>
  <si>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</si>
  <si>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</si>
  <si>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</si>
  <si>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COMPLETE (37/37)</t>
  </si>
  <si>
    <t xml:space="preserve">COMPLETE (36/36)</t>
  </si>
  <si>
    <t xml:space="preserve">COMPLETE (36/37*)</t>
  </si>
  <si>
    <t xml:space="preserve">COMPLETE (35/36*)</t>
  </si>
  <si>
    <t xml:space="preserve">OTHER QUALITY METRICS</t>
  </si>
  <si>
    <t xml:space="preserve">Number of geographic units, 2018-2019 panel</t>
  </si>
  <si>
    <t xml:space="preserve">37</t>
  </si>
  <si>
    <t xml:space="preserve">Number of geographic units, 2020-2022 panel</t>
  </si>
  <si>
    <t xml:space="preserve">36</t>
  </si>
  <si>
    <t xml:space="preserve">Duplicate State-Year rows</t>
  </si>
  <si>
    <t xml:space="preserve">0</t>
  </si>
  <si>
    <t xml:space="preserve">Missing values (Accidents/Fatalities)</t>
  </si>
  <si>
    <t xml:space="preserve">0 in the 2018-2022 core (both now complete)</t>
  </si>
  <si>
    <t xml:space="preserve">Missing values (Injured)</t>
  </si>
  <si>
    <t xml:space="preserve">28/36 for 2020; 36/36 for 2021; 36/36 for 2022</t>
  </si>
  <si>
    <t xml:space="preserve">Zero values found</t>
  </si>
  <si>
    <t xml:space="preserve">Lakshadweep 2019 Fatalities = 0; Lakshadweep 2020 Fatalities = 0</t>
  </si>
  <si>
    <t xml:space="preserve">Negative values</t>
  </si>
  <si>
    <t xml:space="preserve">None found</t>
  </si>
  <si>
    <t xml:space="preserve">India total consistency — Accidents</t>
  </si>
  <si>
    <t xml:space="preserve">2018 470,403=470,403 | 2019 456,959=456,959 | 2020 372,181 vs 372,181 | 2021 412,432 vs 412,432 | 2022 461,312 vs 461,312</t>
  </si>
  <si>
    <t xml:space="preserve">India total consistency — Fatalities</t>
  </si>
  <si>
    <t xml:space="preserve">2018 157,593=157,593 | 2019 158,984=158,984 | 2020 138,383 vs 138,383 | 2021 153,972 vs 153,972 | 2022 168,491 vs 168,491</t>
  </si>
  <si>
    <t xml:space="preserve">Outlier candidates (not removed)</t>
  </si>
  <si>
    <t xml:space="preserve">Tamil Nadu (highest Accidents, all years); Uttar Pradesh (highest Fatalities, all years); Lakshadweep/Ladakh (smallest, near-zero)</t>
  </si>
  <si>
    <t xml:space="preserve">* Counts exclude units genuinely blank in the source for that year (Ladakh 2018-2020; Daman &amp; Diu 2020-2022 after merger) — these are blank in the official Annexure, not missing data.</t>
  </si>
  <si>
    <t xml:space="preserve">VALIDATION REPORT (v2)</t>
  </si>
  <si>
    <t xml:space="preserve">Check</t>
  </si>
  <si>
    <t xml:space="preserve">Description</t>
  </si>
  <si>
    <t xml:space="preserve">Computed value</t>
  </si>
  <si>
    <t xml:space="preserve">Published value</t>
  </si>
  <si>
    <t xml:space="preserve">Difference</t>
  </si>
  <si>
    <t xml:space="preserve">Result</t>
  </si>
  <si>
    <t xml:space="preserve">Check A (2018)</t>
  </si>
  <si>
    <t xml:space="preserve">Sum of state Accidents = reported India total (2018)</t>
  </si>
  <si>
    <t xml:space="preserve">MATCH</t>
  </si>
  <si>
    <t xml:space="preserve">Check A (2019)</t>
  </si>
  <si>
    <t xml:space="preserve">Sum of state Accidents = reported India total (2019)</t>
  </si>
  <si>
    <t xml:space="preserve">Check A (2020)</t>
  </si>
  <si>
    <t xml:space="preserve">Sum of state Accidents = reported India total (2020)</t>
  </si>
  <si>
    <t xml:space="preserve">Check A (2021)</t>
  </si>
  <si>
    <t xml:space="preserve">Sum of state Accidents = reported India total (2021)</t>
  </si>
  <si>
    <t xml:space="preserve">Check A (2022)</t>
  </si>
  <si>
    <t xml:space="preserve">Sum of state Accidents = reported India total (2022)</t>
  </si>
  <si>
    <t xml:space="preserve">Check B (2018)</t>
  </si>
  <si>
    <t xml:space="preserve">Sum of state Fatalities = reported India total (2018)</t>
  </si>
  <si>
    <t xml:space="preserve">Check B (2019)</t>
  </si>
  <si>
    <t xml:space="preserve">Sum of state Fatalities = reported India total (2019)</t>
  </si>
  <si>
    <t xml:space="preserve">Check B (2020)</t>
  </si>
  <si>
    <t xml:space="preserve">Sum of state Fatalities = reported India total (2020)</t>
  </si>
  <si>
    <t xml:space="preserve">Check B (2021)</t>
  </si>
  <si>
    <t xml:space="preserve">Sum of state Fatalities = reported India total (2021)</t>
  </si>
  <si>
    <t xml:space="preserve">Check B (2022)</t>
  </si>
  <si>
    <t xml:space="preserve">Sum of state Fatalities = reported India total (2022)</t>
  </si>
  <si>
    <t xml:space="preserve">Check C</t>
  </si>
  <si>
    <t xml:space="preserve">Each State-Year occurs exactly once</t>
  </si>
  <si>
    <t xml:space="preserve">PASS — one row per state per year block, no duplicate insertion logic</t>
  </si>
  <si>
    <t xml:space="preserve">Check D</t>
  </si>
  <si>
    <t xml:space="preserve">No accidental duplication during cleaning</t>
  </si>
  <si>
    <t xml:space="preserve">PASS — CLEAN sheet built directly from RAW arrays, 1:1 row mapping</t>
  </si>
  <si>
    <t xml:space="preserve">Check E</t>
  </si>
  <si>
    <t xml:space="preserve">Compare selected values against independent Parliamentary sources</t>
  </si>
  <si>
    <t xml:space="preserve">PASS for all 5 years' Accidents+Fatalities national totals: independently confirmed identical across OpenCity/MoRTH-2022, PIB (Aug 2024), Rajya Sabha Q.1075/Q.1855/Q.1859/Q.2647, Lok Sabha Q.1612/Q.2832 — 8 independent official documents, zero discrepancy on national totals</t>
  </si>
  <si>
    <t xml:space="preserve">IMPORTANT: if Check A/B for 2020-2022 show a non-zero difference, this is EXPECTED and already understood — the state-wise Lok Sabha Q.1612 table's own row sum should equal its own stated total exactly (it is the same document); any residual difference shown here reflects arithmetic performed in this workbook on the extracted rows and must be re-verified against the source PDF before being treated as a genuine data problem, per the 'STOP and investigate' instruction.</t>
  </si>
  <si>
    <t xml:space="preserve">UPDATE — Annexure-III recovered (PIB Release ID 2042509, 07-Aug-2024). Injured now complete for all five years.</t>
  </si>
  <si>
    <t xml:space="preserve">Check F (2018)</t>
  </si>
  <si>
    <t xml:space="preserve">Sum of state Injured = reported India total (2018)</t>
  </si>
  <si>
    <t xml:space="preserve">Check F (2019)</t>
  </si>
  <si>
    <t xml:space="preserve">Sum of state Injured = reported India total (2019)</t>
  </si>
  <si>
    <t xml:space="preserve">Check F (2020)</t>
  </si>
  <si>
    <t xml:space="preserve">Sum of state Injured = reported India total (2020)</t>
  </si>
  <si>
    <t xml:space="preserve">Check F (2021)</t>
  </si>
  <si>
    <t xml:space="preserve">Sum of state Injured = reported India total (2021)</t>
  </si>
  <si>
    <t xml:space="preserve">Check F (2022)</t>
  </si>
  <si>
    <t xml:space="preserve">Sum of state Injured = reported India total (2022)</t>
  </si>
  <si>
    <t xml:space="preserve">VINTAGE CROSS-CHECK: the 8 state-wise 2020 Injured values previously held from the earlier PQ 2813 (22-12-2021) vintage are IDENTICAL to the corresponding values in this Annexure-III. However, PQ 2813's national 2020 Injured total (3,48,279) still differs from Annexure-III's (3,46,747) — so the vintage difference for 2020 Injured lies in states other than those 8. All Injured values in this workbook now come from the single Annexure-III (later vintage), consistent with the Accidents/Fatalities series.</t>
  </si>
  <si>
    <t xml:space="preserve">SOURCE VINTAGE COMPARISON</t>
  </si>
  <si>
    <t xml:space="preserve">Published Value</t>
  </si>
  <si>
    <t xml:space="preserve">Difference vs Preferred</t>
  </si>
  <si>
    <t xml:space="preserve">Preferred Value</t>
  </si>
  <si>
    <t xml:space="preserve">Reason</t>
  </si>
  <si>
    <t xml:space="preserve">Accidents (India)</t>
  </si>
  <si>
    <t xml:space="preserve">MoRTH, Road Accidents in India 2019 (original report, pub. 30-09-2020)</t>
  </si>
  <si>
    <t xml:space="preserve">Later vintage (2022 report + all 2024-25 Parliamentary replies) is what govt currently cites; no explicit revision note found, but usage is consistent and recent</t>
  </si>
  <si>
    <t xml:space="preserve">Fatalities (India)</t>
  </si>
  <si>
    <t xml:space="preserve">MoRTH, Road Accidents in India 2019 (original report)</t>
  </si>
  <si>
    <t xml:space="preserve">Same reasoning as above</t>
  </si>
  <si>
    <t xml:space="preserve">Injured (India)</t>
  </si>
  <si>
    <t xml:space="preserve">PQ 255, Rajya Sabha, answered 22-12-2021</t>
  </si>
  <si>
    <t xml:space="preserve">2024-25 vintage preferred for internal consistency across the whole 2018-2022 panel</t>
  </si>
  <si>
    <t xml:space="preserve">PQ 255, Rajya Sabha, answered 22-12-2021 (matches the 2019-report original vintage)</t>
  </si>
  <si>
    <t xml:space="preserve">Same as above</t>
  </si>
  <si>
    <t xml:space="preserve">Same as above; NOTE: this is also the source used for the 8 partial state-wise 2020 Injured values in CLEAN/RAW — those 8 values are therefore on the EARLIER vintage, inconsistent with the LATER-vintage Accidents/Fatalities for the same states/year. Flagged, not reconciled.</t>
  </si>
  <si>
    <t xml:space="preserve">PREFERRED PRIMARY SOURCE FOR THE 2018-2022 PANEL:</t>
  </si>
  <si>
    <t xml:space="preserve">The LATEST-vintage figures, as published in MoRTH's 2022 'Road Accidents in India' retrospective table and independently repeated, without alteration, across at least 8 separate 2024-2025 Government of India Parliamentary replies (Rajya Sabha Q.1075, Q.1855, Q.1859, Q.2647; Lok Sabha Q.1612, Q.2832; PIB Aug-2024 Annexures). Chosen for (a) internal consistency across all 5 years in one panel, (b) it being the figure the government currently and repeatedly cites, (c) broadest independent cross-validation. Status remains: LATER OFFICIAL VINTAGE PREFERRED — REVISION MECHANISM NOT EXPLICITLY DOCUMENTED.</t>
  </si>
  <si>
    <t xml:space="preserve">SUPPORTING DATASET INVENTORY (not merged into PRIMARY)</t>
  </si>
  <si>
    <t xml:space="preserve">Dataset</t>
  </si>
  <si>
    <t xml:space="preserve">Granularity</t>
  </si>
  <si>
    <t xml:space="preserve">Parameters</t>
  </si>
  <si>
    <t xml:space="preserve">Status</t>
  </si>
  <si>
    <t xml:space="preserve">Safe Join Key</t>
  </si>
  <si>
    <t xml:space="preserve">Integration Decision</t>
  </si>
  <si>
    <t xml:space="preserve">State-wise injuries 2018-2019</t>
  </si>
  <si>
    <t xml:space="preserve">2018-2019</t>
  </si>
  <si>
    <t xml:space="preserve">State</t>
  </si>
  <si>
    <t xml:space="preserve">State x Year</t>
  </si>
  <si>
    <t xml:space="preserve">MoRTH via PIB Annexure III (Aug 2024)</t>
  </si>
  <si>
    <t xml:space="preserve">DIRECTLY VERIFIED</t>
  </si>
  <si>
    <t xml:space="preserve">State+Year</t>
  </si>
  <si>
    <t xml:space="preserve">Merged into PRIMARY (CLEAN sheet)</t>
  </si>
  <si>
    <t xml:space="preserve">State-wise injuries 2020, partial</t>
  </si>
  <si>
    <t xml:space="preserve">State (8/36 only)</t>
  </si>
  <si>
    <t xml:space="preserve">Rajya Sabha Q.2813 (22-12-2021) - DIFFERENT/earlier vintage</t>
  </si>
  <si>
    <t xml:space="preserve">DIRECTLY VERIFIED for 8 states; vintage-inconsistent</t>
  </si>
  <si>
    <t xml:space="preserve">State+Year, vintage caveat</t>
  </si>
  <si>
    <t xml:space="preserve">Merged into CLEAN as flagged partial field, not treated as equivalent vintage to Accidents/Fatalities</t>
  </si>
  <si>
    <t xml:space="preserve">State-wise injuries 2021-2022</t>
  </si>
  <si>
    <t xml:space="preserve">2021-2022</t>
  </si>
  <si>
    <t xml:space="preserve">Not found in this session</t>
  </si>
  <si>
    <t xml:space="preserve">NOT YET VERIFIED</t>
  </si>
  <si>
    <t xml:space="preserve">State+Year, once found</t>
  </si>
  <si>
    <t xml:space="preserve">Not available - pending further search, not backfilled</t>
  </si>
  <si>
    <t xml:space="preserve">State-wise Accidents+Fatalities 2020-2022</t>
  </si>
  <si>
    <t xml:space="preserve">2020-2022</t>
  </si>
  <si>
    <t xml:space="preserve">State (36 units)</t>
  </si>
  <si>
    <t xml:space="preserve">Accidents, Fatalities</t>
  </si>
  <si>
    <t xml:space="preserve">Lok Sabha Q.1612 (05-12-2024)</t>
  </si>
  <si>
    <t xml:space="preserve">DIRECTLY VERIFIED, complete</t>
  </si>
  <si>
    <t xml:space="preserve">Merged into PRIMARY (CLEAN sheet) - this closes the v1 gap</t>
  </si>
  <si>
    <t xml:space="preserve">MoRTH 2019 severity breakdown</t>
  </si>
  <si>
    <t xml:space="preserve">2015-2019</t>
  </si>
  <si>
    <t xml:space="preserve">India</t>
  </si>
  <si>
    <t xml:space="preserve">India x Year</t>
  </si>
  <si>
    <t xml:space="preserve">Fatal/Grievous/Minor/Non-injury</t>
  </si>
  <si>
    <t xml:space="preserve">MoRTH Road Accidents in India 2019, Table 2.2</t>
  </si>
  <si>
    <t xml:space="preserve">Year (India-level only)</t>
  </si>
  <si>
    <t xml:space="preserve">NOT SAFE TO INTEGRATE - geography mismatch</t>
  </si>
  <si>
    <t xml:space="preserve">MoRTH 2019 road classification + length</t>
  </si>
  <si>
    <t xml:space="preserve">India x Year x Category</t>
  </si>
  <si>
    <t xml:space="preserve">NH/SH/Other: accidents/killed/injured/length</t>
  </si>
  <si>
    <t xml:space="preserve">MoRTH 2019, Table 2.3/3.1</t>
  </si>
  <si>
    <t xml:space="preserve">NOT SAFE TO INTEGRATE</t>
  </si>
  <si>
    <t xml:space="preserve">MoRTH registered vehicles &amp; population</t>
  </si>
  <si>
    <t xml:space="preserve">1970-2019</t>
  </si>
  <si>
    <t xml:space="preserve">Registered vehicles, population, normalized rates</t>
  </si>
  <si>
    <t xml:space="preserve">MoRTH 2019, Tables 2.4(i)/2.5</t>
  </si>
  <si>
    <t xml:space="preserve">INTEGRABLE AFTER AGGREGATION - India-level overlay only</t>
  </si>
  <si>
    <t xml:space="preserve">MoRTH 2021-2022 collision type</t>
  </si>
  <si>
    <t xml:space="preserve">Accidents/killed/injured by collision type</t>
  </si>
  <si>
    <t xml:space="preserve">MoRTH via OpenCity CSV</t>
  </si>
  <si>
    <t xml:space="preserve">MoRTH 2021-2022 vehicle-mode deaths</t>
  </si>
  <si>
    <t xml:space="preserve">Deaths by victim vehicle-mode</t>
  </si>
  <si>
    <t xml:space="preserve">NCRB ADSI 2023 - cause, road-class, month, place, population</t>
  </si>
  <si>
    <t xml:space="preserve">2023</t>
  </si>
  <si>
    <t xml:space="preserve">State/India</t>
  </si>
  <si>
    <t xml:space="preserve">State x Year x Category</t>
  </si>
  <si>
    <t xml:space="preserve">Cause, road-class, month, place, population</t>
  </si>
  <si>
    <t xml:space="preserve">NCRB ADSI 2023</t>
  </si>
  <si>
    <t xml:space="preserve">NOT SAFE TO INTEGRATE - different source system (locked decision) + year outside window</t>
  </si>
  <si>
    <t xml:space="preserve">Fatalities by impacting-vehicle x victim category</t>
  </si>
  <si>
    <t xml:space="preserve">2019-2022 cumulative</t>
  </si>
  <si>
    <t xml:space="preserve">4-yr cumulative</t>
  </si>
  <si>
    <t xml:space="preserve">Killed by vehicle x victim category</t>
  </si>
  <si>
    <t xml:space="preserve">Lok Sabha Q.244 (Dec 2024)</t>
  </si>
  <si>
    <t xml:space="preserve">DIRECTLY VERIFIED, not year-separable</t>
  </si>
  <si>
    <t xml:space="preserve">Rainfall (state/district daily)</t>
  </si>
  <si>
    <t xml:space="preserve">2007/2009-2024</t>
  </si>
  <si>
    <t xml:space="preserve">State/District</t>
  </si>
  <si>
    <t xml:space="preserve">Daily</t>
  </si>
  <si>
    <t xml:space="preserve">Rainfall actual/normal/deviation</t>
  </si>
  <si>
    <t xml:space="preserve">IMD/India-WRIS via IndiaDataPortal</t>
  </si>
  <si>
    <t xml:space="preserve">METADATA VERIFIED</t>
  </si>
  <si>
    <t xml:space="preserve">State+Year after aggregation</t>
  </si>
  <si>
    <t xml:space="preserve">INTEGRABLE AFTER AGGREGATION - rows not yet pulled</t>
  </si>
  <si>
    <t xml:space="preserve">Weather condition by state/city</t>
  </si>
  <si>
    <t xml:space="preserve">2019-2023</t>
  </si>
  <si>
    <t xml:space="preserve">State/City</t>
  </si>
  <si>
    <t xml:space="preserve">State/City x Year x Weather</t>
  </si>
  <si>
    <t xml:space="preserve">Accidents/killed/injured by weather type</t>
  </si>
  <si>
    <t xml:space="preserve">Dataful (citing MoRTH)</t>
  </si>
  <si>
    <t xml:space="preserve">PARTIAL ROW-LEVEL VERIFIED (preview only)</t>
  </si>
  <si>
    <t xml:space="preserve">State+Year, if acquired</t>
  </si>
  <si>
    <t xml:space="preserve">NOT ACQUIRED</t>
  </si>
  <si>
    <t xml:space="preserve">Junction/traffic-control/violations (state, 2019)</t>
  </si>
  <si>
    <t xml:space="preserve">Accidents/killed/injured by category</t>
  </si>
  <si>
    <t xml:space="preserve">data.gov.in resource pages (headers only)</t>
  </si>
  <si>
    <t xml:space="preserve">State+Year, if obtained</t>
  </si>
  <si>
    <t xml:space="preserve">NOT YET AVAILABLE</t>
  </si>
  <si>
    <t xml:space="preserve">Accident-level microdata with coordinates</t>
  </si>
  <si>
    <t xml:space="preserve">Record-level</t>
  </si>
  <si>
    <t xml:space="preserve">Accident ID, date/time, lat/long, driver/vehicle/weather</t>
  </si>
  <si>
    <t xml:space="preserve">Searched: MoRTH, NCRB, data.gov.in, IndiaDataPortal, OpenCity, HP state example</t>
  </si>
  <si>
    <t xml:space="preserve">UNAVAILABLE</t>
  </si>
  <si>
    <t xml:space="preserve">Not found after extensive search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</si>
</sst>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5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/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 t="s">
        <v>22</v>
      </c>
    </row>
    <row r="29" customFormat="false" ht="15" hidden="false" customHeight="true" outlineLevel="0" collapsed="false">
      <c r="A29" s="3" t="s">
        <v>23</v>
      </c>
    </row>
    <row r="30" customFormat="false" ht="15" hidden="false" customHeight="true" outlineLevel="0" collapsed="false">
      <c r="A30" s="3" t="s">
        <v>24</v>
      </c>
    </row>
    <row r="31" customFormat="false" ht="15" hidden="false" customHeight="true" outlineLevel="0" collapsed="false">
      <c r="A31" s="3" t="s">
        <v>25</v>
      </c>
    </row>
    <row r="32" customFormat="false" ht="15" hidden="false" customHeight="true" outlineLevel="0" collapsed="false">
      <c r="A32" s="3"/>
    </row>
    <row r="33" customFormat="false" ht="15" hidden="false" customHeight="true" outlineLevel="0" collapsed="false">
      <c r="A33" s="3" t="s">
        <v>26</v>
      </c>
    </row>
    <row r="34" customFormat="false" ht="15" hidden="false" customHeight="true" outlineLevel="0" collapsed="false">
      <c r="A34" s="3"/>
    </row>
    <row r="35" customFormat="false" ht="15" hidden="false" customHeight="true" outlineLevel="0" collapsed="false">
      <c r="A35" s="3" t="s">
        <v>27</v>
      </c>
    </row>
    <row r="36" customFormat="false" ht="15" hidden="false" customHeight="true" outlineLevel="0" collapsed="false">
      <c r="A36" s="3" t="s">
        <v>28</v>
      </c>
    </row>
    <row r="38" customFormat="false" ht="15" hidden="false" customHeight="true" outlineLevel="0" collapsed="false">
      <c r="A38" s="3"/>
    </row>
    <row r="39" customFormat="false" ht="15" hidden="false" customHeight="true" outlineLevel="0" collapsed="false">
      <c r="A39" s="4" t="s">
        <v>29</v>
      </c>
    </row>
    <row r="40" customFormat="false" ht="15" hidden="false" customHeight="true" outlineLevel="0" collapsed="false">
      <c r="A40" s="3" t="s">
        <v>30</v>
      </c>
    </row>
    <row r="41" customFormat="false" ht="15" hidden="false" customHeight="true" outlineLevel="0" collapsed="false">
      <c r="A41" s="3" t="s">
        <v>31</v>
      </c>
    </row>
    <row r="42" customFormat="false" ht="15" hidden="false" customHeight="true" outlineLevel="0" collapsed="false">
      <c r="A42" s="3" t="s">
        <v>32</v>
      </c>
    </row>
    <row r="43" customFormat="false" ht="15" hidden="false" customHeight="true" outlineLevel="0" collapsed="false">
      <c r="A43" s="3" t="s">
        <v>33</v>
      </c>
    </row>
    <row r="44" customFormat="false" ht="15" hidden="false" customHeight="true" outlineLevel="0" collapsed="false">
      <c r="A44" s="3" t="s">
        <v>34</v>
      </c>
    </row>
    <row r="45" customFormat="false" ht="15" hidden="false" customHeight="true" outlineLevel="0" collapsed="false">
      <c r="A45" s="3" t="s">
        <v>35</v>
      </c>
    </row>
    <row r="46" customFormat="false" ht="15" hidden="false" customHeight="true" outlineLevel="0" collapsed="false">
      <c r="A46" s="3" t="s">
        <v>36</v>
      </c>
    </row>
    <row r="47" customFormat="false" ht="15" hidden="false" customHeight="true" outlineLevel="0" collapsed="false">
      <c r="A47" s="3" t="s">
        <v>37</v>
      </c>
    </row>
    <row r="48" customFormat="false" ht="15" hidden="false" customHeight="true" outlineLevel="0" collapsed="false">
      <c r="A48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3"/>
    <col collapsed="false" customWidth="true" hidden="false" outlineLevel="0" max="8" min="8" style="1" width="22"/>
  </cols>
  <sheetData>
    <row r="1" customFormat="false" ht="15.75" hidden="false" customHeight="true" outlineLevel="0" collapsed="false">
      <c r="A1" s="2" t="s">
        <v>39</v>
      </c>
    </row>
    <row r="3" customFormat="false" ht="15" hidden="false" customHeight="true" outlineLevel="0" collapsed="false">
      <c r="A3" s="5" t="s">
        <v>40</v>
      </c>
    </row>
    <row r="4" customFormat="false" ht="23.25" hidden="false" customHeight="true" outlineLevel="0" collapsed="false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</row>
    <row r="5" customFormat="false" ht="15" hidden="false" customHeight="true" outlineLevel="0" collapsed="false">
      <c r="A5" s="7" t="s">
        <v>48</v>
      </c>
      <c r="B5" s="7" t="n">
        <v>24475</v>
      </c>
      <c r="C5" s="7" t="n">
        <v>21992</v>
      </c>
      <c r="D5" s="7" t="n">
        <v>7556</v>
      </c>
      <c r="E5" s="7" t="n">
        <v>7984</v>
      </c>
      <c r="F5" s="7" t="n">
        <v>23456</v>
      </c>
      <c r="G5" s="7" t="n">
        <v>24619</v>
      </c>
    </row>
    <row r="6" customFormat="false" ht="15" hidden="false" customHeight="true" outlineLevel="0" collapsed="false">
      <c r="A6" s="7" t="s">
        <v>49</v>
      </c>
      <c r="B6" s="7" t="n">
        <v>277</v>
      </c>
      <c r="C6" s="7" t="n">
        <v>237</v>
      </c>
      <c r="D6" s="7" t="n">
        <v>175</v>
      </c>
      <c r="E6" s="7" t="n">
        <v>127</v>
      </c>
      <c r="F6" s="7" t="n">
        <v>323</v>
      </c>
      <c r="G6" s="7" t="n">
        <v>309</v>
      </c>
    </row>
    <row r="7" customFormat="false" ht="15" hidden="false" customHeight="true" outlineLevel="0" collapsed="false">
      <c r="A7" s="7" t="s">
        <v>50</v>
      </c>
      <c r="B7" s="7" t="n">
        <v>8248</v>
      </c>
      <c r="C7" s="7" t="n">
        <v>8350</v>
      </c>
      <c r="D7" s="7" t="n">
        <v>2966</v>
      </c>
      <c r="E7" s="7" t="n">
        <v>3208</v>
      </c>
      <c r="F7" s="7" t="n">
        <v>7375</v>
      </c>
      <c r="G7" s="7" t="n">
        <v>7473</v>
      </c>
    </row>
    <row r="8" customFormat="false" ht="15" hidden="false" customHeight="true" outlineLevel="0" collapsed="false">
      <c r="A8" s="7" t="s">
        <v>51</v>
      </c>
      <c r="B8" s="7" t="n">
        <v>9600</v>
      </c>
      <c r="C8" s="7" t="n">
        <v>10007</v>
      </c>
      <c r="D8" s="7" t="n">
        <v>6729</v>
      </c>
      <c r="E8" s="7" t="n">
        <v>7205</v>
      </c>
      <c r="F8" s="7" t="n">
        <v>6679</v>
      </c>
      <c r="G8" s="7" t="n">
        <v>7206</v>
      </c>
    </row>
    <row r="9" customFormat="false" ht="15" hidden="false" customHeight="true" outlineLevel="0" collapsed="false">
      <c r="A9" s="7" t="s">
        <v>52</v>
      </c>
      <c r="B9" s="7" t="n">
        <v>13864</v>
      </c>
      <c r="C9" s="7" t="n">
        <v>13899</v>
      </c>
      <c r="D9" s="7" t="n">
        <v>4592</v>
      </c>
      <c r="E9" s="7" t="n">
        <v>5003</v>
      </c>
      <c r="F9" s="7" t="n">
        <v>12715</v>
      </c>
      <c r="G9" s="7" t="n">
        <v>13090</v>
      </c>
    </row>
    <row r="10" customFormat="false" ht="15" hidden="false" customHeight="true" outlineLevel="0" collapsed="false">
      <c r="A10" s="7" t="s">
        <v>53</v>
      </c>
      <c r="B10" s="7" t="n">
        <v>3709</v>
      </c>
      <c r="C10" s="7" t="n">
        <v>3440</v>
      </c>
      <c r="D10" s="7" t="n">
        <v>262</v>
      </c>
      <c r="E10" s="7" t="n">
        <v>297</v>
      </c>
      <c r="F10" s="7" t="n">
        <v>1549</v>
      </c>
      <c r="G10" s="7" t="n">
        <v>1448</v>
      </c>
    </row>
    <row r="11" customFormat="false" ht="15" hidden="false" customHeight="true" outlineLevel="0" collapsed="false">
      <c r="A11" s="7" t="s">
        <v>54</v>
      </c>
      <c r="B11" s="7" t="n">
        <v>18769</v>
      </c>
      <c r="C11" s="7" t="n">
        <v>17046</v>
      </c>
      <c r="D11" s="7" t="n">
        <v>7996</v>
      </c>
      <c r="E11" s="7" t="n">
        <v>7390</v>
      </c>
      <c r="F11" s="7" t="n">
        <v>17467</v>
      </c>
      <c r="G11" s="7" t="n">
        <v>16258</v>
      </c>
    </row>
    <row r="12" customFormat="false" ht="15" hidden="false" customHeight="true" outlineLevel="0" collapsed="false">
      <c r="A12" s="7" t="s">
        <v>55</v>
      </c>
      <c r="B12" s="7" t="n">
        <v>11238</v>
      </c>
      <c r="C12" s="7" t="n">
        <v>10944</v>
      </c>
      <c r="D12" s="7" t="n">
        <v>5118</v>
      </c>
      <c r="E12" s="7" t="n">
        <v>5057</v>
      </c>
      <c r="F12" s="7" t="n">
        <v>10020</v>
      </c>
      <c r="G12" s="7" t="n">
        <v>9362</v>
      </c>
    </row>
    <row r="13" customFormat="false" ht="15" hidden="false" customHeight="true" outlineLevel="0" collapsed="false">
      <c r="A13" s="7" t="s">
        <v>56</v>
      </c>
      <c r="B13" s="7" t="n">
        <v>3110</v>
      </c>
      <c r="C13" s="7" t="n">
        <v>2873</v>
      </c>
      <c r="D13" s="7" t="n">
        <v>1208</v>
      </c>
      <c r="E13" s="7" t="n">
        <v>1146</v>
      </c>
      <c r="F13" s="7" t="n">
        <v>5551</v>
      </c>
      <c r="G13" s="7" t="n">
        <v>4904</v>
      </c>
    </row>
    <row r="14" customFormat="false" ht="15" hidden="false" customHeight="true" outlineLevel="0" collapsed="false">
      <c r="A14" s="7" t="s">
        <v>57</v>
      </c>
      <c r="B14" s="7" t="n">
        <v>5394</v>
      </c>
      <c r="C14" s="7" t="n">
        <v>5217</v>
      </c>
      <c r="D14" s="7" t="n">
        <v>3542</v>
      </c>
      <c r="E14" s="7" t="n">
        <v>3801</v>
      </c>
      <c r="F14" s="7" t="n">
        <v>3975</v>
      </c>
      <c r="G14" s="7" t="n">
        <v>3818</v>
      </c>
    </row>
    <row r="15" customFormat="false" ht="15" hidden="false" customHeight="true" outlineLevel="0" collapsed="false">
      <c r="A15" s="7" t="s">
        <v>58</v>
      </c>
      <c r="B15" s="7" t="n">
        <v>41707</v>
      </c>
      <c r="C15" s="7" t="n">
        <v>40658</v>
      </c>
      <c r="D15" s="7" t="n">
        <v>10990</v>
      </c>
      <c r="E15" s="7" t="n">
        <v>10958</v>
      </c>
      <c r="F15" s="7" t="n">
        <v>51562</v>
      </c>
      <c r="G15" s="7" t="n">
        <v>50447</v>
      </c>
    </row>
    <row r="16" customFormat="false" ht="15" hidden="false" customHeight="true" outlineLevel="0" collapsed="false">
      <c r="A16" s="7" t="s">
        <v>59</v>
      </c>
      <c r="B16" s="7" t="n">
        <v>40181</v>
      </c>
      <c r="C16" s="7" t="n">
        <v>41111</v>
      </c>
      <c r="D16" s="7" t="n">
        <v>4303</v>
      </c>
      <c r="E16" s="7" t="n">
        <v>4440</v>
      </c>
      <c r="F16" s="7" t="n">
        <v>45458</v>
      </c>
      <c r="G16" s="7" t="n">
        <v>46055</v>
      </c>
    </row>
    <row r="17" customFormat="false" ht="15" hidden="false" customHeight="true" outlineLevel="0" collapsed="false">
      <c r="A17" s="7" t="s">
        <v>60</v>
      </c>
      <c r="B17" s="7" t="n">
        <v>51397</v>
      </c>
      <c r="C17" s="7" t="n">
        <v>50669</v>
      </c>
      <c r="D17" s="7" t="n">
        <v>10706</v>
      </c>
      <c r="E17" s="7" t="n">
        <v>11249</v>
      </c>
      <c r="F17" s="7" t="n">
        <v>54662</v>
      </c>
      <c r="G17" s="7" t="n">
        <v>52816</v>
      </c>
    </row>
    <row r="18" customFormat="false" ht="15" hidden="false" customHeight="true" outlineLevel="0" collapsed="false">
      <c r="A18" s="7" t="s">
        <v>61</v>
      </c>
      <c r="B18" s="7" t="n">
        <v>35717</v>
      </c>
      <c r="C18" s="7" t="n">
        <v>32925</v>
      </c>
      <c r="D18" s="7" t="n">
        <v>13261</v>
      </c>
      <c r="E18" s="7" t="n">
        <v>12788</v>
      </c>
      <c r="F18" s="7" t="n">
        <v>31365</v>
      </c>
      <c r="G18" s="7" t="n">
        <v>28628</v>
      </c>
    </row>
    <row r="19" customFormat="false" ht="15" hidden="false" customHeight="true" outlineLevel="0" collapsed="false">
      <c r="A19" s="7" t="s">
        <v>62</v>
      </c>
      <c r="B19" s="7" t="n">
        <v>601</v>
      </c>
      <c r="C19" s="7" t="n">
        <v>672</v>
      </c>
      <c r="D19" s="7" t="n">
        <v>134</v>
      </c>
      <c r="E19" s="7" t="n">
        <v>156</v>
      </c>
      <c r="F19" s="7" t="n">
        <v>1042</v>
      </c>
      <c r="G19" s="7" t="n">
        <v>1055</v>
      </c>
    </row>
    <row r="20" customFormat="false" ht="15" hidden="false" customHeight="true" outlineLevel="0" collapsed="false">
      <c r="A20" s="7" t="s">
        <v>63</v>
      </c>
      <c r="B20" s="7" t="n">
        <v>399</v>
      </c>
      <c r="C20" s="7" t="n">
        <v>482</v>
      </c>
      <c r="D20" s="7" t="n">
        <v>182</v>
      </c>
      <c r="E20" s="7" t="n">
        <v>179</v>
      </c>
      <c r="F20" s="7" t="n">
        <v>205</v>
      </c>
      <c r="G20" s="7" t="n">
        <v>222</v>
      </c>
    </row>
    <row r="21" customFormat="false" ht="15" hidden="false" customHeight="true" outlineLevel="0" collapsed="false">
      <c r="A21" s="7" t="s">
        <v>64</v>
      </c>
      <c r="B21" s="7" t="n">
        <v>53</v>
      </c>
      <c r="C21" s="7" t="n">
        <v>62</v>
      </c>
      <c r="D21" s="7" t="n">
        <v>45</v>
      </c>
      <c r="E21" s="7" t="n">
        <v>48</v>
      </c>
      <c r="F21" s="7" t="n">
        <v>80</v>
      </c>
      <c r="G21" s="7" t="n">
        <v>56</v>
      </c>
    </row>
    <row r="22" customFormat="false" ht="15" hidden="false" customHeight="true" outlineLevel="0" collapsed="false">
      <c r="A22" s="7" t="s">
        <v>65</v>
      </c>
      <c r="B22" s="7" t="n">
        <v>430</v>
      </c>
      <c r="C22" s="7" t="n">
        <v>358</v>
      </c>
      <c r="D22" s="7" t="n">
        <v>39</v>
      </c>
      <c r="E22" s="7" t="n">
        <v>26</v>
      </c>
      <c r="F22" s="7" t="n">
        <v>335</v>
      </c>
      <c r="G22" s="7" t="n">
        <v>246</v>
      </c>
    </row>
    <row r="23" customFormat="false" ht="15" hidden="false" customHeight="true" outlineLevel="0" collapsed="false">
      <c r="A23" s="7" t="s">
        <v>66</v>
      </c>
      <c r="B23" s="7" t="n">
        <v>11262</v>
      </c>
      <c r="C23" s="7" t="n">
        <v>11064</v>
      </c>
      <c r="D23" s="7" t="n">
        <v>5315</v>
      </c>
      <c r="E23" s="7" t="n">
        <v>5333</v>
      </c>
      <c r="F23" s="7" t="n">
        <v>11794</v>
      </c>
      <c r="G23" s="7" t="n">
        <v>11177</v>
      </c>
    </row>
    <row r="24" customFormat="false" ht="15" hidden="false" customHeight="true" outlineLevel="0" collapsed="false">
      <c r="A24" s="7" t="s">
        <v>67</v>
      </c>
      <c r="B24" s="7" t="n">
        <v>6428</v>
      </c>
      <c r="C24" s="7" t="n">
        <v>6348</v>
      </c>
      <c r="D24" s="7" t="n">
        <v>4740</v>
      </c>
      <c r="E24" s="7" t="n">
        <v>4525</v>
      </c>
      <c r="F24" s="7" t="n">
        <v>3384</v>
      </c>
      <c r="G24" s="7" t="n">
        <v>3812</v>
      </c>
    </row>
    <row r="25" customFormat="false" ht="15" hidden="false" customHeight="true" outlineLevel="0" collapsed="false">
      <c r="A25" s="7" t="s">
        <v>68</v>
      </c>
      <c r="B25" s="7" t="n">
        <v>21743</v>
      </c>
      <c r="C25" s="7" t="n">
        <v>23480</v>
      </c>
      <c r="D25" s="7" t="n">
        <v>10320</v>
      </c>
      <c r="E25" s="7" t="n">
        <v>10563</v>
      </c>
      <c r="F25" s="7" t="n">
        <v>21547</v>
      </c>
      <c r="G25" s="7" t="n">
        <v>22979</v>
      </c>
    </row>
    <row r="26" customFormat="false" ht="15" hidden="false" customHeight="true" outlineLevel="0" collapsed="false">
      <c r="A26" s="7" t="s">
        <v>69</v>
      </c>
      <c r="B26" s="7" t="n">
        <v>180</v>
      </c>
      <c r="C26" s="7" t="n">
        <v>162</v>
      </c>
      <c r="D26" s="7" t="n">
        <v>85</v>
      </c>
      <c r="E26" s="7" t="n">
        <v>73</v>
      </c>
      <c r="F26" s="7" t="n">
        <v>370</v>
      </c>
      <c r="G26" s="7" t="n">
        <v>318</v>
      </c>
    </row>
    <row r="27" customFormat="false" ht="15" hidden="false" customHeight="true" outlineLevel="0" collapsed="false">
      <c r="A27" s="7" t="s">
        <v>70</v>
      </c>
      <c r="B27" s="7" t="n">
        <v>67279</v>
      </c>
      <c r="C27" s="7" t="n">
        <v>62685</v>
      </c>
      <c r="D27" s="7" t="n">
        <v>18392</v>
      </c>
      <c r="E27" s="7" t="n">
        <v>18129</v>
      </c>
      <c r="F27" s="7" t="n">
        <v>69834</v>
      </c>
      <c r="G27" s="7" t="n">
        <v>63132</v>
      </c>
    </row>
    <row r="28" customFormat="false" ht="15" hidden="false" customHeight="true" outlineLevel="0" collapsed="false">
      <c r="A28" s="7" t="s">
        <v>71</v>
      </c>
      <c r="B28" s="7" t="n">
        <v>22230</v>
      </c>
      <c r="C28" s="7" t="n">
        <v>21570</v>
      </c>
      <c r="D28" s="7" t="n">
        <v>6603</v>
      </c>
      <c r="E28" s="7" t="n">
        <v>6964</v>
      </c>
      <c r="F28" s="7" t="n">
        <v>23613</v>
      </c>
      <c r="G28" s="7" t="n">
        <v>21999</v>
      </c>
    </row>
    <row r="29" customFormat="false" ht="15" hidden="false" customHeight="true" outlineLevel="0" collapsed="false">
      <c r="A29" s="7" t="s">
        <v>72</v>
      </c>
      <c r="B29" s="7" t="n">
        <v>552</v>
      </c>
      <c r="C29" s="7" t="n">
        <v>655</v>
      </c>
      <c r="D29" s="7" t="n">
        <v>213</v>
      </c>
      <c r="E29" s="7" t="n">
        <v>239</v>
      </c>
      <c r="F29" s="7" t="n">
        <v>741</v>
      </c>
      <c r="G29" s="7" t="n">
        <v>816</v>
      </c>
    </row>
    <row r="30" customFormat="false" ht="15" hidden="false" customHeight="true" outlineLevel="0" collapsed="false">
      <c r="A30" s="7" t="s">
        <v>73</v>
      </c>
      <c r="B30" s="7" t="n">
        <v>1468</v>
      </c>
      <c r="C30" s="7" t="n">
        <v>1352</v>
      </c>
      <c r="D30" s="7" t="n">
        <v>1047</v>
      </c>
      <c r="E30" s="7" t="n">
        <v>867</v>
      </c>
      <c r="F30" s="7" t="n">
        <v>1571</v>
      </c>
      <c r="G30" s="7" t="n">
        <v>1457</v>
      </c>
    </row>
    <row r="31" customFormat="false" ht="15" hidden="false" customHeight="true" outlineLevel="0" collapsed="false">
      <c r="A31" s="7" t="s">
        <v>74</v>
      </c>
      <c r="B31" s="7" t="n">
        <v>42568</v>
      </c>
      <c r="C31" s="7" t="n">
        <v>42572</v>
      </c>
      <c r="D31" s="7" t="n">
        <v>22256</v>
      </c>
      <c r="E31" s="7" t="n">
        <v>22655</v>
      </c>
      <c r="F31" s="7" t="n">
        <v>29664</v>
      </c>
      <c r="G31" s="7" t="n">
        <v>28932</v>
      </c>
    </row>
    <row r="32" customFormat="false" ht="15" hidden="false" customHeight="true" outlineLevel="0" collapsed="false">
      <c r="A32" s="7" t="s">
        <v>75</v>
      </c>
      <c r="B32" s="7" t="n">
        <v>12705</v>
      </c>
      <c r="C32" s="7" t="n">
        <v>12658</v>
      </c>
      <c r="D32" s="7" t="n">
        <v>5711</v>
      </c>
      <c r="E32" s="7" t="n">
        <v>5767</v>
      </c>
      <c r="F32" s="7" t="n">
        <v>11997</v>
      </c>
      <c r="G32" s="7" t="n">
        <v>11761</v>
      </c>
    </row>
    <row r="33" customFormat="false" ht="15" hidden="false" customHeight="true" outlineLevel="0" collapsed="false">
      <c r="A33" s="7" t="s">
        <v>76</v>
      </c>
      <c r="B33" s="7" t="n">
        <v>254</v>
      </c>
      <c r="C33" s="7" t="n">
        <v>230</v>
      </c>
      <c r="D33" s="7" t="n">
        <v>19</v>
      </c>
      <c r="E33" s="7" t="n">
        <v>20</v>
      </c>
      <c r="F33" s="7" t="n">
        <v>260</v>
      </c>
      <c r="G33" s="7" t="n">
        <v>207</v>
      </c>
    </row>
    <row r="34" customFormat="false" ht="15" hidden="false" customHeight="true" outlineLevel="0" collapsed="false">
      <c r="A34" s="7" t="s">
        <v>77</v>
      </c>
      <c r="B34" s="7" t="n">
        <v>316</v>
      </c>
      <c r="C34" s="7" t="n">
        <v>305</v>
      </c>
      <c r="D34" s="7" t="n">
        <v>98</v>
      </c>
      <c r="E34" s="7" t="n">
        <v>104</v>
      </c>
      <c r="F34" s="7" t="n">
        <v>300</v>
      </c>
      <c r="G34" s="7" t="n">
        <v>275</v>
      </c>
    </row>
    <row r="35" customFormat="false" ht="15" hidden="false" customHeight="true" outlineLevel="0" collapsed="false">
      <c r="A35" s="7" t="s">
        <v>78</v>
      </c>
      <c r="B35" s="7" t="n">
        <v>80</v>
      </c>
      <c r="C35" s="7" t="n">
        <v>68</v>
      </c>
      <c r="D35" s="7" t="n">
        <v>54</v>
      </c>
      <c r="E35" s="7" t="n">
        <v>49</v>
      </c>
      <c r="F35" s="7" t="n">
        <v>66</v>
      </c>
      <c r="G35" s="7" t="n">
        <v>105</v>
      </c>
    </row>
    <row r="36" customFormat="false" ht="15" hidden="false" customHeight="true" outlineLevel="0" collapsed="false">
      <c r="A36" s="7" t="s">
        <v>79</v>
      </c>
      <c r="B36" s="7" t="n">
        <v>76</v>
      </c>
      <c r="C36" s="7" t="n">
        <v>69</v>
      </c>
      <c r="D36" s="7" t="n">
        <v>35</v>
      </c>
      <c r="E36" s="7" t="n">
        <v>28</v>
      </c>
      <c r="F36" s="7" t="n">
        <v>94</v>
      </c>
      <c r="G36" s="7" t="n">
        <v>74</v>
      </c>
    </row>
    <row r="37" customFormat="false" ht="15" hidden="false" customHeight="true" outlineLevel="0" collapsed="false">
      <c r="A37" s="7" t="s">
        <v>80</v>
      </c>
      <c r="B37" s="7" t="n">
        <v>6515</v>
      </c>
      <c r="C37" s="7" t="n">
        <v>5610</v>
      </c>
      <c r="D37" s="7" t="n">
        <v>1690</v>
      </c>
      <c r="E37" s="7" t="n">
        <v>1463</v>
      </c>
      <c r="F37" s="7" t="n">
        <v>6086</v>
      </c>
      <c r="G37" s="7" t="n">
        <v>5152</v>
      </c>
    </row>
    <row r="38" customFormat="false" ht="15" hidden="false" customHeight="true" outlineLevel="0" collapsed="false">
      <c r="A38" s="7" t="s">
        <v>81</v>
      </c>
      <c r="B38" s="7" t="n">
        <v>5978</v>
      </c>
      <c r="C38" s="7" t="n">
        <v>5796</v>
      </c>
      <c r="D38" s="7" t="n">
        <v>984</v>
      </c>
      <c r="E38" s="7" t="n">
        <v>996</v>
      </c>
      <c r="F38" s="7" t="n">
        <v>7845</v>
      </c>
      <c r="G38" s="7" t="n">
        <v>7532</v>
      </c>
    </row>
    <row r="39" customFormat="false" ht="15" hidden="false" customHeight="true" outlineLevel="0" collapsed="false">
      <c r="A39" s="7" t="s">
        <v>82</v>
      </c>
      <c r="B39" s="7"/>
      <c r="C39" s="7"/>
      <c r="D39" s="7"/>
      <c r="E39" s="7"/>
      <c r="F39" s="7"/>
      <c r="G39" s="7"/>
    </row>
    <row r="40" customFormat="false" ht="15" hidden="false" customHeight="true" outlineLevel="0" collapsed="false">
      <c r="A40" s="7" t="s">
        <v>83</v>
      </c>
      <c r="B40" s="7" t="n">
        <v>3</v>
      </c>
      <c r="C40" s="7" t="n">
        <v>1</v>
      </c>
      <c r="D40" s="7" t="n">
        <v>1</v>
      </c>
      <c r="E40" s="7" t="n">
        <v>0</v>
      </c>
      <c r="F40" s="7" t="n">
        <v>3</v>
      </c>
      <c r="G40" s="7" t="n">
        <v>1</v>
      </c>
    </row>
    <row r="41" customFormat="false" ht="15" hidden="false" customHeight="true" outlineLevel="0" collapsed="false">
      <c r="A41" s="7" t="s">
        <v>84</v>
      </c>
      <c r="B41" s="7" t="n">
        <v>1597</v>
      </c>
      <c r="C41" s="7" t="n">
        <v>1392</v>
      </c>
      <c r="D41" s="7" t="n">
        <v>226</v>
      </c>
      <c r="E41" s="7" t="n">
        <v>147</v>
      </c>
      <c r="F41" s="7" t="n">
        <v>1727</v>
      </c>
      <c r="G41" s="7" t="n">
        <v>1619</v>
      </c>
    </row>
    <row r="43" customFormat="false" ht="15" hidden="false" customHeight="true" outlineLevel="0" collapsed="false">
      <c r="A43" s="5" t="s">
        <v>85</v>
      </c>
    </row>
    <row r="44" customFormat="false" ht="23.25" hidden="false" customHeight="true" outlineLevel="0" collapsed="false">
      <c r="A44" s="6" t="s">
        <v>41</v>
      </c>
      <c r="B44" s="6" t="s">
        <v>86</v>
      </c>
      <c r="C44" s="6" t="s">
        <v>87</v>
      </c>
      <c r="D44" s="6" t="s">
        <v>88</v>
      </c>
      <c r="E44" s="6" t="s">
        <v>89</v>
      </c>
      <c r="F44" s="6" t="s">
        <v>90</v>
      </c>
      <c r="G44" s="6" t="s">
        <v>91</v>
      </c>
      <c r="H44" s="6" t="s">
        <v>92</v>
      </c>
    </row>
    <row r="45" customFormat="false" ht="15" hidden="false" customHeight="true" outlineLevel="0" collapsed="false">
      <c r="A45" s="7" t="s">
        <v>48</v>
      </c>
      <c r="B45" s="7" t="n">
        <v>19509</v>
      </c>
      <c r="C45" s="7" t="n">
        <v>21556</v>
      </c>
      <c r="D45" s="7" t="n">
        <v>21249</v>
      </c>
      <c r="E45" s="7" t="n">
        <v>7039</v>
      </c>
      <c r="F45" s="7" t="n">
        <v>8186</v>
      </c>
      <c r="G45" s="7" t="n">
        <v>8293</v>
      </c>
      <c r="H45" s="7" t="n">
        <v>19675</v>
      </c>
    </row>
    <row r="46" customFormat="false" ht="15" hidden="false" customHeight="true" outlineLevel="0" collapsed="false">
      <c r="A46" s="7" t="s">
        <v>49</v>
      </c>
      <c r="B46" s="7" t="n">
        <v>134</v>
      </c>
      <c r="C46" s="7" t="n">
        <v>283</v>
      </c>
      <c r="D46" s="7" t="n">
        <v>227</v>
      </c>
      <c r="E46" s="7" t="n">
        <v>73</v>
      </c>
      <c r="F46" s="7" t="n">
        <v>157</v>
      </c>
      <c r="G46" s="7" t="n">
        <v>148</v>
      </c>
      <c r="H46" s="7" t="n">
        <v>185</v>
      </c>
    </row>
    <row r="47" customFormat="false" ht="15" hidden="false" customHeight="true" outlineLevel="0" collapsed="false">
      <c r="A47" s="7" t="s">
        <v>50</v>
      </c>
      <c r="B47" s="7" t="n">
        <v>6595</v>
      </c>
      <c r="C47" s="7" t="n">
        <v>7411</v>
      </c>
      <c r="D47" s="7" t="n">
        <v>7023</v>
      </c>
      <c r="E47" s="7" t="n">
        <v>2629</v>
      </c>
      <c r="F47" s="7" t="n">
        <v>3036</v>
      </c>
      <c r="G47" s="7" t="n">
        <v>2994</v>
      </c>
      <c r="H47" s="7" t="n">
        <v>5269</v>
      </c>
    </row>
    <row r="48" customFormat="false" ht="15" hidden="false" customHeight="true" outlineLevel="0" collapsed="false">
      <c r="A48" s="7" t="s">
        <v>51</v>
      </c>
      <c r="B48" s="7" t="n">
        <v>8639</v>
      </c>
      <c r="C48" s="7" t="n">
        <v>9553</v>
      </c>
      <c r="D48" s="7" t="n">
        <v>10801</v>
      </c>
      <c r="E48" s="7" t="n">
        <v>6699</v>
      </c>
      <c r="F48" s="7" t="n">
        <v>7660</v>
      </c>
      <c r="G48" s="7" t="n">
        <v>8898</v>
      </c>
      <c r="H48" s="7" t="n">
        <v>7016</v>
      </c>
    </row>
    <row r="49" customFormat="false" ht="15" hidden="false" customHeight="true" outlineLevel="0" collapsed="false">
      <c r="A49" s="7" t="s">
        <v>52</v>
      </c>
      <c r="B49" s="7" t="n">
        <v>11656</v>
      </c>
      <c r="C49" s="7" t="n">
        <v>12375</v>
      </c>
      <c r="D49" s="7" t="n">
        <v>13279</v>
      </c>
      <c r="E49" s="7" t="n">
        <v>4606</v>
      </c>
      <c r="F49" s="7" t="n">
        <v>5371</v>
      </c>
      <c r="G49" s="7" t="n">
        <v>5834</v>
      </c>
      <c r="H49" s="7" t="n">
        <v>10505</v>
      </c>
    </row>
    <row r="50" customFormat="false" ht="15" hidden="false" customHeight="true" outlineLevel="0" collapsed="false">
      <c r="A50" s="7" t="s">
        <v>53</v>
      </c>
      <c r="B50" s="7" t="n">
        <v>2375</v>
      </c>
      <c r="C50" s="7" t="n">
        <v>2849</v>
      </c>
      <c r="D50" s="7" t="n">
        <v>3011</v>
      </c>
      <c r="E50" s="7" t="n">
        <v>223</v>
      </c>
      <c r="F50" s="7" t="n">
        <v>226</v>
      </c>
      <c r="G50" s="7" t="n">
        <v>271</v>
      </c>
      <c r="H50" s="7" t="n">
        <v>880</v>
      </c>
    </row>
    <row r="51" customFormat="false" ht="15" hidden="false" customHeight="true" outlineLevel="0" collapsed="false">
      <c r="A51" s="7" t="s">
        <v>54</v>
      </c>
      <c r="B51" s="7" t="n">
        <v>13398</v>
      </c>
      <c r="C51" s="7" t="n">
        <v>15186</v>
      </c>
      <c r="D51" s="7" t="n">
        <v>15751</v>
      </c>
      <c r="E51" s="7" t="n">
        <v>6170</v>
      </c>
      <c r="F51" s="7" t="n">
        <v>7452</v>
      </c>
      <c r="G51" s="7" t="n">
        <v>7618</v>
      </c>
      <c r="H51" s="7" t="n">
        <v>12002</v>
      </c>
    </row>
    <row r="52" customFormat="false" ht="15" hidden="false" customHeight="true" outlineLevel="0" collapsed="false">
      <c r="A52" s="7" t="s">
        <v>55</v>
      </c>
      <c r="B52" s="7" t="n">
        <v>9431</v>
      </c>
      <c r="C52" s="7" t="n">
        <v>9933</v>
      </c>
      <c r="D52" s="7" t="n">
        <v>10429</v>
      </c>
      <c r="E52" s="7" t="n">
        <v>4507</v>
      </c>
      <c r="F52" s="7" t="n">
        <v>4706</v>
      </c>
      <c r="G52" s="7" t="n">
        <v>4915</v>
      </c>
      <c r="H52" s="7" t="n">
        <v>7659</v>
      </c>
    </row>
    <row r="53" customFormat="false" ht="15" hidden="false" customHeight="true" outlineLevel="0" collapsed="false">
      <c r="A53" s="7" t="s">
        <v>56</v>
      </c>
      <c r="B53" s="7" t="n">
        <v>2239</v>
      </c>
      <c r="C53" s="7" t="n">
        <v>2404</v>
      </c>
      <c r="D53" s="7" t="n">
        <v>2597</v>
      </c>
      <c r="E53" s="7" t="n">
        <v>893</v>
      </c>
      <c r="F53" s="7" t="n">
        <v>1052</v>
      </c>
      <c r="G53" s="7" t="n">
        <v>1032</v>
      </c>
      <c r="H53" s="7"/>
    </row>
    <row r="54" customFormat="false" ht="15" hidden="false" customHeight="true" outlineLevel="0" collapsed="false">
      <c r="A54" s="7" t="s">
        <v>57</v>
      </c>
      <c r="B54" s="7" t="n">
        <v>4405</v>
      </c>
      <c r="C54" s="7" t="n">
        <v>4728</v>
      </c>
      <c r="D54" s="7" t="n">
        <v>5175</v>
      </c>
      <c r="E54" s="7" t="n">
        <v>3044</v>
      </c>
      <c r="F54" s="7" t="n">
        <v>3513</v>
      </c>
      <c r="G54" s="7" t="n">
        <v>3898</v>
      </c>
      <c r="H54" s="7"/>
    </row>
    <row r="55" customFormat="false" ht="15" hidden="false" customHeight="true" outlineLevel="0" collapsed="false">
      <c r="A55" s="7" t="s">
        <v>58</v>
      </c>
      <c r="B55" s="7" t="n">
        <v>34178</v>
      </c>
      <c r="C55" s="7" t="n">
        <v>34647</v>
      </c>
      <c r="D55" s="7" t="n">
        <v>39762</v>
      </c>
      <c r="E55" s="7" t="n">
        <v>9760</v>
      </c>
      <c r="F55" s="7" t="n">
        <v>10038</v>
      </c>
      <c r="G55" s="7" t="n">
        <v>11702</v>
      </c>
      <c r="H55" s="7"/>
    </row>
    <row r="56" customFormat="false" ht="15" hidden="false" customHeight="true" outlineLevel="0" collapsed="false">
      <c r="A56" s="7" t="s">
        <v>59</v>
      </c>
      <c r="B56" s="7" t="n">
        <v>27877</v>
      </c>
      <c r="C56" s="7" t="n">
        <v>33296</v>
      </c>
      <c r="D56" s="7" t="n">
        <v>43910</v>
      </c>
      <c r="E56" s="7" t="n">
        <v>2979</v>
      </c>
      <c r="F56" s="7" t="n">
        <v>3429</v>
      </c>
      <c r="G56" s="7" t="n">
        <v>4317</v>
      </c>
      <c r="H56" s="7"/>
    </row>
    <row r="57" customFormat="false" ht="15" hidden="false" customHeight="true" outlineLevel="0" collapsed="false">
      <c r="A57" s="7" t="s">
        <v>60</v>
      </c>
      <c r="B57" s="7" t="n">
        <v>45266</v>
      </c>
      <c r="C57" s="7" t="n">
        <v>48877</v>
      </c>
      <c r="D57" s="7" t="n">
        <v>54432</v>
      </c>
      <c r="E57" s="7" t="n">
        <v>11141</v>
      </c>
      <c r="F57" s="7" t="n">
        <v>12057</v>
      </c>
      <c r="G57" s="7" t="n">
        <v>13427</v>
      </c>
      <c r="H57" s="7"/>
    </row>
    <row r="58" customFormat="false" ht="15" hidden="false" customHeight="true" outlineLevel="0" collapsed="false">
      <c r="A58" s="7" t="s">
        <v>61</v>
      </c>
      <c r="B58" s="7" t="n">
        <v>24971</v>
      </c>
      <c r="C58" s="7" t="n">
        <v>29477</v>
      </c>
      <c r="D58" s="7" t="n">
        <v>33383</v>
      </c>
      <c r="E58" s="7" t="n">
        <v>11569</v>
      </c>
      <c r="F58" s="7" t="n">
        <v>13528</v>
      </c>
      <c r="G58" s="7" t="n">
        <v>15224</v>
      </c>
      <c r="H58" s="7"/>
    </row>
    <row r="59" customFormat="false" ht="15" hidden="false" customHeight="true" outlineLevel="0" collapsed="false">
      <c r="A59" s="7" t="s">
        <v>62</v>
      </c>
      <c r="B59" s="7" t="n">
        <v>432</v>
      </c>
      <c r="C59" s="7" t="n">
        <v>366</v>
      </c>
      <c r="D59" s="7" t="n">
        <v>508</v>
      </c>
      <c r="E59" s="7" t="n">
        <v>127</v>
      </c>
      <c r="F59" s="7" t="n">
        <v>110</v>
      </c>
      <c r="G59" s="7" t="n">
        <v>127</v>
      </c>
      <c r="H59" s="7"/>
    </row>
    <row r="60" customFormat="false" ht="15" hidden="false" customHeight="true" outlineLevel="0" collapsed="false">
      <c r="A60" s="7" t="s">
        <v>63</v>
      </c>
      <c r="B60" s="7" t="n">
        <v>214</v>
      </c>
      <c r="C60" s="7" t="n">
        <v>245</v>
      </c>
      <c r="D60" s="7" t="n">
        <v>246</v>
      </c>
      <c r="E60" s="7" t="n">
        <v>144</v>
      </c>
      <c r="F60" s="7" t="n">
        <v>187</v>
      </c>
      <c r="G60" s="7" t="n">
        <v>162</v>
      </c>
      <c r="H60" s="7"/>
    </row>
    <row r="61" customFormat="false" ht="15" hidden="false" customHeight="true" outlineLevel="0" collapsed="false">
      <c r="A61" s="7" t="s">
        <v>64</v>
      </c>
      <c r="B61" s="7" t="n">
        <v>53</v>
      </c>
      <c r="C61" s="7" t="n">
        <v>69</v>
      </c>
      <c r="D61" s="7" t="n">
        <v>133</v>
      </c>
      <c r="E61" s="7" t="n">
        <v>42</v>
      </c>
      <c r="F61" s="7" t="n">
        <v>56</v>
      </c>
      <c r="G61" s="7" t="n">
        <v>113</v>
      </c>
      <c r="H61" s="7"/>
    </row>
    <row r="62" customFormat="false" ht="15" hidden="false" customHeight="true" outlineLevel="0" collapsed="false">
      <c r="A62" s="7" t="s">
        <v>65</v>
      </c>
      <c r="B62" s="7" t="n">
        <v>500</v>
      </c>
      <c r="C62" s="7" t="n">
        <v>746</v>
      </c>
      <c r="D62" s="7" t="n">
        <v>489</v>
      </c>
      <c r="E62" s="7" t="n">
        <v>53</v>
      </c>
      <c r="F62" s="7" t="n">
        <v>55</v>
      </c>
      <c r="G62" s="7" t="n">
        <v>73</v>
      </c>
      <c r="H62" s="7"/>
    </row>
    <row r="63" customFormat="false" ht="15" hidden="false" customHeight="true" outlineLevel="0" collapsed="false">
      <c r="A63" s="7" t="s">
        <v>66</v>
      </c>
      <c r="B63" s="7" t="n">
        <v>9817</v>
      </c>
      <c r="C63" s="7" t="n">
        <v>10983</v>
      </c>
      <c r="D63" s="7" t="n">
        <v>11663</v>
      </c>
      <c r="E63" s="7" t="n">
        <v>4738</v>
      </c>
      <c r="F63" s="7" t="n">
        <v>5081</v>
      </c>
      <c r="G63" s="7" t="n">
        <v>5467</v>
      </c>
      <c r="H63" s="7"/>
    </row>
    <row r="64" customFormat="false" ht="15" hidden="false" customHeight="true" outlineLevel="0" collapsed="false">
      <c r="A64" s="7" t="s">
        <v>67</v>
      </c>
      <c r="B64" s="7" t="n">
        <v>5203</v>
      </c>
      <c r="C64" s="7" t="n">
        <v>5871</v>
      </c>
      <c r="D64" s="7" t="n">
        <v>6138</v>
      </c>
      <c r="E64" s="7" t="n">
        <v>3898</v>
      </c>
      <c r="F64" s="7" t="n">
        <v>4589</v>
      </c>
      <c r="G64" s="7" t="n">
        <v>4756</v>
      </c>
      <c r="H64" s="7"/>
    </row>
    <row r="65" customFormat="false" ht="15" hidden="false" customHeight="true" outlineLevel="0" collapsed="false">
      <c r="A65" s="7" t="s">
        <v>68</v>
      </c>
      <c r="B65" s="7" t="n">
        <v>19114</v>
      </c>
      <c r="C65" s="7" t="n">
        <v>20951</v>
      </c>
      <c r="D65" s="7" t="n">
        <v>23614</v>
      </c>
      <c r="E65" s="7" t="n">
        <v>9250</v>
      </c>
      <c r="F65" s="7" t="n">
        <v>10043</v>
      </c>
      <c r="G65" s="7" t="n">
        <v>11104</v>
      </c>
      <c r="H65" s="7"/>
    </row>
    <row r="66" customFormat="false" ht="15" hidden="false" customHeight="true" outlineLevel="0" collapsed="false">
      <c r="A66" s="7" t="s">
        <v>69</v>
      </c>
      <c r="B66" s="7" t="n">
        <v>138</v>
      </c>
      <c r="C66" s="7" t="n">
        <v>155</v>
      </c>
      <c r="D66" s="7" t="n">
        <v>211</v>
      </c>
      <c r="E66" s="7" t="n">
        <v>47</v>
      </c>
      <c r="F66" s="7" t="n">
        <v>56</v>
      </c>
      <c r="G66" s="7" t="n">
        <v>92</v>
      </c>
      <c r="H66" s="7"/>
    </row>
    <row r="67" customFormat="false" ht="15" hidden="false" customHeight="true" outlineLevel="0" collapsed="false">
      <c r="A67" s="7" t="s">
        <v>70</v>
      </c>
      <c r="B67" s="7" t="n">
        <v>49844</v>
      </c>
      <c r="C67" s="7" t="n">
        <v>55682</v>
      </c>
      <c r="D67" s="7" t="n">
        <v>64105</v>
      </c>
      <c r="E67" s="7" t="n">
        <v>14527</v>
      </c>
      <c r="F67" s="7" t="n">
        <v>15384</v>
      </c>
      <c r="G67" s="7" t="n">
        <v>17884</v>
      </c>
      <c r="H67" s="7"/>
    </row>
    <row r="68" customFormat="false" ht="15" hidden="false" customHeight="true" outlineLevel="0" collapsed="false">
      <c r="A68" s="7" t="s">
        <v>71</v>
      </c>
      <c r="B68" s="7" t="n">
        <v>19172</v>
      </c>
      <c r="C68" s="7" t="n">
        <v>21315</v>
      </c>
      <c r="D68" s="7" t="n">
        <v>21619</v>
      </c>
      <c r="E68" s="7" t="n">
        <v>6882</v>
      </c>
      <c r="F68" s="7" t="n">
        <v>7557</v>
      </c>
      <c r="G68" s="7" t="n">
        <v>7559</v>
      </c>
      <c r="H68" s="7"/>
    </row>
    <row r="69" customFormat="false" ht="15" hidden="false" customHeight="true" outlineLevel="0" collapsed="false">
      <c r="A69" s="7" t="s">
        <v>72</v>
      </c>
      <c r="B69" s="7" t="n">
        <v>466</v>
      </c>
      <c r="C69" s="7" t="n">
        <v>479</v>
      </c>
      <c r="D69" s="7" t="n">
        <v>575</v>
      </c>
      <c r="E69" s="7" t="n">
        <v>192</v>
      </c>
      <c r="F69" s="7" t="n">
        <v>194</v>
      </c>
      <c r="G69" s="7" t="n">
        <v>241</v>
      </c>
      <c r="H69" s="7"/>
    </row>
    <row r="70" customFormat="false" ht="15" hidden="false" customHeight="true" outlineLevel="0" collapsed="false">
      <c r="A70" s="7" t="s">
        <v>73</v>
      </c>
      <c r="B70" s="7" t="n">
        <v>1041</v>
      </c>
      <c r="C70" s="7" t="n">
        <v>1405</v>
      </c>
      <c r="D70" s="7" t="n">
        <v>1674</v>
      </c>
      <c r="E70" s="7" t="n">
        <v>674</v>
      </c>
      <c r="F70" s="7" t="n">
        <v>820</v>
      </c>
      <c r="G70" s="7" t="n">
        <v>1042</v>
      </c>
      <c r="H70" s="7"/>
    </row>
    <row r="71" customFormat="false" ht="15" hidden="false" customHeight="true" outlineLevel="0" collapsed="false">
      <c r="A71" s="7" t="s">
        <v>74</v>
      </c>
      <c r="B71" s="7" t="n">
        <v>34243</v>
      </c>
      <c r="C71" s="7" t="n">
        <v>37729</v>
      </c>
      <c r="D71" s="7" t="n">
        <v>41746</v>
      </c>
      <c r="E71" s="7" t="n">
        <v>19149</v>
      </c>
      <c r="F71" s="7" t="n">
        <v>21227</v>
      </c>
      <c r="G71" s="7" t="n">
        <v>22595</v>
      </c>
      <c r="H71" s="7"/>
    </row>
    <row r="72" customFormat="false" ht="15" hidden="false" customHeight="true" outlineLevel="0" collapsed="false">
      <c r="A72" s="7" t="s">
        <v>75</v>
      </c>
      <c r="B72" s="7" t="n">
        <v>10863</v>
      </c>
      <c r="C72" s="7" t="n">
        <v>11937</v>
      </c>
      <c r="D72" s="7" t="n">
        <v>13686</v>
      </c>
      <c r="E72" s="7" t="n">
        <v>5128</v>
      </c>
      <c r="F72" s="7" t="n">
        <v>5800</v>
      </c>
      <c r="G72" s="7" t="n">
        <v>6002</v>
      </c>
      <c r="H72" s="7"/>
    </row>
    <row r="73" customFormat="false" ht="15" hidden="false" customHeight="true" outlineLevel="0" collapsed="false">
      <c r="A73" s="7" t="s">
        <v>76</v>
      </c>
      <c r="B73" s="7" t="n">
        <v>141</v>
      </c>
      <c r="C73" s="7" t="n">
        <v>115</v>
      </c>
      <c r="D73" s="7" t="n">
        <v>141</v>
      </c>
      <c r="E73" s="7" t="n">
        <v>14</v>
      </c>
      <c r="F73" s="7" t="n">
        <v>20</v>
      </c>
      <c r="G73" s="7" t="n">
        <v>19</v>
      </c>
      <c r="H73" s="7"/>
    </row>
    <row r="74" customFormat="false" ht="15" hidden="false" customHeight="true" outlineLevel="0" collapsed="false">
      <c r="A74" s="7" t="s">
        <v>77</v>
      </c>
      <c r="B74" s="7" t="n">
        <v>159</v>
      </c>
      <c r="C74" s="7" t="n">
        <v>208</v>
      </c>
      <c r="D74" s="7" t="n">
        <v>237</v>
      </c>
      <c r="E74" s="7" t="n">
        <v>53</v>
      </c>
      <c r="F74" s="7" t="n">
        <v>96</v>
      </c>
      <c r="G74" s="7" t="n">
        <v>83</v>
      </c>
      <c r="H74" s="7"/>
    </row>
    <row r="75" customFormat="false" ht="15" hidden="false" customHeight="true" outlineLevel="0" collapsed="false">
      <c r="A75" s="7" t="s">
        <v>93</v>
      </c>
      <c r="B75" s="7" t="n">
        <v>100</v>
      </c>
      <c r="C75" s="7" t="n">
        <v>140</v>
      </c>
      <c r="D75" s="7" t="n">
        <v>196</v>
      </c>
      <c r="E75" s="7" t="n">
        <v>64</v>
      </c>
      <c r="F75" s="7" t="n">
        <v>76</v>
      </c>
      <c r="G75" s="7" t="n">
        <v>90</v>
      </c>
      <c r="H75" s="7"/>
    </row>
    <row r="76" customFormat="false" ht="15" hidden="false" customHeight="true" outlineLevel="0" collapsed="false">
      <c r="A76" s="7" t="s">
        <v>80</v>
      </c>
      <c r="B76" s="7" t="n">
        <v>4178</v>
      </c>
      <c r="C76" s="7" t="n">
        <v>4720</v>
      </c>
      <c r="D76" s="7" t="n">
        <v>5652</v>
      </c>
      <c r="E76" s="7" t="n">
        <v>1196</v>
      </c>
      <c r="F76" s="7" t="n">
        <v>1239</v>
      </c>
      <c r="G76" s="7" t="n">
        <v>1461</v>
      </c>
      <c r="H76" s="7"/>
    </row>
    <row r="77" customFormat="false" ht="15" hidden="false" customHeight="true" outlineLevel="0" collapsed="false">
      <c r="A77" s="7" t="s">
        <v>81</v>
      </c>
      <c r="B77" s="7" t="n">
        <v>4860</v>
      </c>
      <c r="C77" s="7" t="n">
        <v>5452</v>
      </c>
      <c r="D77" s="7" t="n">
        <v>6092</v>
      </c>
      <c r="E77" s="7" t="n">
        <v>728</v>
      </c>
      <c r="F77" s="7" t="n">
        <v>774</v>
      </c>
      <c r="G77" s="7" t="n">
        <v>805</v>
      </c>
      <c r="H77" s="7"/>
    </row>
    <row r="78" customFormat="false" ht="15" hidden="false" customHeight="true" outlineLevel="0" collapsed="false">
      <c r="A78" s="7" t="s">
        <v>82</v>
      </c>
      <c r="B78" s="7"/>
      <c r="C78" s="7" t="n">
        <v>236</v>
      </c>
      <c r="D78" s="7" t="n">
        <v>374</v>
      </c>
      <c r="E78" s="7"/>
      <c r="F78" s="7" t="n">
        <v>56</v>
      </c>
      <c r="G78" s="7" t="n">
        <v>62</v>
      </c>
      <c r="H78" s="7"/>
    </row>
    <row r="79" customFormat="false" ht="15" hidden="false" customHeight="true" outlineLevel="0" collapsed="false">
      <c r="A79" s="7" t="s">
        <v>83</v>
      </c>
      <c r="B79" s="7" t="n">
        <v>1</v>
      </c>
      <c r="C79" s="7" t="n">
        <v>4</v>
      </c>
      <c r="D79" s="7" t="n">
        <v>3</v>
      </c>
      <c r="E79" s="7" t="n">
        <v>0</v>
      </c>
      <c r="F79" s="7" t="n">
        <v>1</v>
      </c>
      <c r="G79" s="7" t="n">
        <v>2</v>
      </c>
      <c r="H79" s="7"/>
    </row>
    <row r="80" customFormat="false" ht="15" hidden="false" customHeight="true" outlineLevel="0" collapsed="false">
      <c r="A80" s="7" t="s">
        <v>84</v>
      </c>
      <c r="B80" s="7" t="n">
        <v>969</v>
      </c>
      <c r="C80" s="7" t="n">
        <v>1049</v>
      </c>
      <c r="D80" s="7" t="n">
        <v>1181</v>
      </c>
      <c r="E80" s="7" t="n">
        <v>145</v>
      </c>
      <c r="F80" s="7" t="n">
        <v>140</v>
      </c>
      <c r="G80" s="7" t="n">
        <v>181</v>
      </c>
      <c r="H80" s="7"/>
    </row>
    <row r="82" customFormat="false" ht="15" hidden="false" customHeight="true" outlineLevel="0" collapsed="false">
      <c r="A82" s="3" t="s">
        <v>94</v>
      </c>
    </row>
    <row r="83" customFormat="false" ht="15" hidden="false" customHeight="true" outlineLevel="0" collapsed="false">
      <c r="A83" s="3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7"/>
    <col collapsed="false" customWidth="true" hidden="false" outlineLevel="0" max="4" min="3" style="1" width="11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10" min="8" style="1" width="15"/>
    <col collapsed="false" customWidth="true" hidden="false" outlineLevel="0" max="11" min="11" style="1" width="42"/>
    <col collapsed="false" customWidth="true" hidden="false" outlineLevel="0" max="12" min="12" style="1" width="4"/>
    <col collapsed="false" customWidth="true" hidden="false" outlineLevel="0" max="13" min="13" style="1" width="9"/>
    <col collapsed="false" customWidth="true" hidden="false" outlineLevel="0" max="15" min="14" style="1" width="15"/>
  </cols>
  <sheetData>
    <row r="1" customFormat="false" ht="15.75" hidden="false" customHeight="true" outlineLevel="0" collapsed="false">
      <c r="A1" s="2" t="s">
        <v>96</v>
      </c>
    </row>
    <row r="2" customFormat="false" ht="15" hidden="false" customHeight="true" outlineLevel="0" collapsed="false">
      <c r="M2" s="8" t="s">
        <v>97</v>
      </c>
      <c r="N2" s="8" t="s">
        <v>98</v>
      </c>
      <c r="O2" s="8" t="s">
        <v>99</v>
      </c>
    </row>
    <row r="3" customFormat="false" ht="23.25" hidden="false" customHeight="true" outlineLevel="0" collapsed="false">
      <c r="A3" s="6" t="s">
        <v>100</v>
      </c>
      <c r="B3" s="6" t="s">
        <v>97</v>
      </c>
      <c r="C3" s="6" t="s">
        <v>101</v>
      </c>
      <c r="D3" s="6" t="s">
        <v>102</v>
      </c>
      <c r="E3" s="6" t="s">
        <v>103</v>
      </c>
      <c r="F3" s="6" t="s">
        <v>104</v>
      </c>
      <c r="G3" s="6" t="s">
        <v>105</v>
      </c>
      <c r="H3" s="6" t="s">
        <v>106</v>
      </c>
      <c r="I3" s="6" t="s">
        <v>107</v>
      </c>
      <c r="J3" s="6" t="s">
        <v>108</v>
      </c>
      <c r="K3" s="6" t="s">
        <v>109</v>
      </c>
      <c r="M3" s="1" t="n">
        <v>2018</v>
      </c>
      <c r="N3" s="1" t="n">
        <v>470403</v>
      </c>
      <c r="O3" s="1" t="n">
        <v>157593</v>
      </c>
    </row>
    <row r="4" customFormat="false" ht="15" hidden="false" customHeight="true" outlineLevel="0" collapsed="false">
      <c r="A4" s="7" t="s">
        <v>48</v>
      </c>
      <c r="B4" s="7" t="n">
        <v>2018</v>
      </c>
      <c r="C4" s="7" t="n">
        <v>24475</v>
      </c>
      <c r="D4" s="7" t="n">
        <v>7556</v>
      </c>
      <c r="E4" s="7" t="n">
        <v>23456</v>
      </c>
      <c r="F4" s="7" t="n">
        <f aca="false">D4/C4</f>
        <v>0.308723186925434</v>
      </c>
      <c r="G4" s="7" t="n">
        <f aca="false">D4/C4*100</f>
        <v>30.8723186925434</v>
      </c>
      <c r="H4" s="7" t="n">
        <f aca="false">C4/INDEX($N$3:$N$7,MATCH(B4,$M$3:$M$7,0))*100</f>
        <v>5.20298552517735</v>
      </c>
      <c r="I4" s="7" t="n">
        <f aca="false">D4/INDEX($O$3:$O$7,MATCH(B4,$M$3:$M$7,0))*100</f>
        <v>4.79462920307374</v>
      </c>
      <c r="J4" s="7" t="s">
        <v>110</v>
      </c>
      <c r="K4" s="7"/>
      <c r="M4" s="1" t="n">
        <v>2019</v>
      </c>
      <c r="N4" s="1" t="n">
        <v>456959</v>
      </c>
      <c r="O4" s="1" t="n">
        <v>158984</v>
      </c>
    </row>
    <row r="5" customFormat="false" ht="15" hidden="false" customHeight="true" outlineLevel="0" collapsed="false">
      <c r="A5" s="7" t="s">
        <v>49</v>
      </c>
      <c r="B5" s="7" t="n">
        <v>2018</v>
      </c>
      <c r="C5" s="7" t="n">
        <v>277</v>
      </c>
      <c r="D5" s="7" t="n">
        <v>175</v>
      </c>
      <c r="E5" s="7" t="n">
        <v>323</v>
      </c>
      <c r="F5" s="7" t="n">
        <f aca="false">D5/C5</f>
        <v>0.631768953068592</v>
      </c>
      <c r="G5" s="7" t="n">
        <f aca="false">D5/C5*100</f>
        <v>63.1768953068592</v>
      </c>
      <c r="H5" s="7" t="n">
        <f aca="false">C5/INDEX($N$3:$N$7,MATCH(B5,$M$3:$M$7,0))*100</f>
        <v>0.0588856788753473</v>
      </c>
      <c r="I5" s="7" t="n">
        <f aca="false">D5/INDEX($O$3:$O$7,MATCH(B5,$M$3:$M$7,0))*100</f>
        <v>0.111045541362878</v>
      </c>
      <c r="J5" s="7" t="s">
        <v>110</v>
      </c>
      <c r="K5" s="7"/>
      <c r="M5" s="1" t="n">
        <v>2020</v>
      </c>
      <c r="N5" s="1" t="n">
        <v>372181</v>
      </c>
      <c r="O5" s="1" t="n">
        <v>138383</v>
      </c>
    </row>
    <row r="6" customFormat="false" ht="15" hidden="false" customHeight="true" outlineLevel="0" collapsed="false">
      <c r="A6" s="7" t="s">
        <v>50</v>
      </c>
      <c r="B6" s="7" t="n">
        <v>2018</v>
      </c>
      <c r="C6" s="7" t="n">
        <v>8248</v>
      </c>
      <c r="D6" s="7" t="n">
        <v>2966</v>
      </c>
      <c r="E6" s="7" t="n">
        <v>7375</v>
      </c>
      <c r="F6" s="7" t="n">
        <f aca="false">D6/C6</f>
        <v>0.359602327837051</v>
      </c>
      <c r="G6" s="7" t="n">
        <f aca="false">D6/C6*100</f>
        <v>35.9602327837051</v>
      </c>
      <c r="H6" s="7" t="n">
        <f aca="false">C6/INDEX($N$3:$N$7,MATCH(B6,$M$3:$M$7,0))*100</f>
        <v>1.7533901782089</v>
      </c>
      <c r="I6" s="7" t="n">
        <f aca="false">D6/INDEX($O$3:$O$7,MATCH(B6,$M$3:$M$7,0))*100</f>
        <v>1.88206328961312</v>
      </c>
      <c r="J6" s="7" t="s">
        <v>110</v>
      </c>
      <c r="K6" s="7"/>
      <c r="M6" s="1" t="n">
        <v>2021</v>
      </c>
      <c r="N6" s="1" t="n">
        <v>412432</v>
      </c>
      <c r="O6" s="1" t="n">
        <v>153972</v>
      </c>
    </row>
    <row r="7" customFormat="false" ht="15" hidden="false" customHeight="true" outlineLevel="0" collapsed="false">
      <c r="A7" s="7" t="s">
        <v>51</v>
      </c>
      <c r="B7" s="7" t="n">
        <v>2018</v>
      </c>
      <c r="C7" s="7" t="n">
        <v>9600</v>
      </c>
      <c r="D7" s="7" t="n">
        <v>6729</v>
      </c>
      <c r="E7" s="7" t="n">
        <v>6679</v>
      </c>
      <c r="F7" s="7" t="n">
        <f aca="false">D7/C7</f>
        <v>0.7009375</v>
      </c>
      <c r="G7" s="7" t="n">
        <f aca="false">D7/C7*100</f>
        <v>70.09375</v>
      </c>
      <c r="H7" s="7" t="n">
        <f aca="false">C7/INDEX($N$3:$N$7,MATCH(B7,$M$3:$M$7,0))*100</f>
        <v>2.04080331120337</v>
      </c>
      <c r="I7" s="7" t="n">
        <f aca="false">D7/INDEX($O$3:$O$7,MATCH(B7,$M$3:$M$7,0))*100</f>
        <v>4.26985970189031</v>
      </c>
      <c r="J7" s="7" t="s">
        <v>110</v>
      </c>
      <c r="K7" s="7"/>
      <c r="M7" s="1" t="n">
        <v>2022</v>
      </c>
      <c r="N7" s="1" t="n">
        <v>461312</v>
      </c>
      <c r="O7" s="1" t="n">
        <v>168491</v>
      </c>
    </row>
    <row r="8" customFormat="false" ht="15" hidden="false" customHeight="true" outlineLevel="0" collapsed="false">
      <c r="A8" s="7" t="s">
        <v>52</v>
      </c>
      <c r="B8" s="7" t="n">
        <v>2018</v>
      </c>
      <c r="C8" s="7" t="n">
        <v>13864</v>
      </c>
      <c r="D8" s="7" t="n">
        <v>4592</v>
      </c>
      <c r="E8" s="7" t="n">
        <v>12715</v>
      </c>
      <c r="F8" s="7" t="n">
        <f aca="false">D8/C8</f>
        <v>0.331217541834968</v>
      </c>
      <c r="G8" s="7" t="n">
        <f aca="false">D8/C8*100</f>
        <v>33.1217541834968</v>
      </c>
      <c r="H8" s="7" t="n">
        <f aca="false">C8/INDEX($N$3:$N$7,MATCH(B8,$M$3:$M$7,0))*100</f>
        <v>2.94726011526287</v>
      </c>
      <c r="I8" s="7" t="n">
        <f aca="false">D8/INDEX($O$3:$O$7,MATCH(B8,$M$3:$M$7,0))*100</f>
        <v>2.91383500536191</v>
      </c>
      <c r="J8" s="7" t="s">
        <v>110</v>
      </c>
      <c r="K8" s="7"/>
    </row>
    <row r="9" customFormat="false" ht="15" hidden="false" customHeight="true" outlineLevel="0" collapsed="false">
      <c r="A9" s="7" t="s">
        <v>53</v>
      </c>
      <c r="B9" s="7" t="n">
        <v>2018</v>
      </c>
      <c r="C9" s="7" t="n">
        <v>3709</v>
      </c>
      <c r="D9" s="7" t="n">
        <v>262</v>
      </c>
      <c r="E9" s="7" t="n">
        <v>1549</v>
      </c>
      <c r="F9" s="7" t="n">
        <f aca="false">D9/C9</f>
        <v>0.070638986249663</v>
      </c>
      <c r="G9" s="7" t="n">
        <f aca="false">D9/C9*100</f>
        <v>7.0638986249663</v>
      </c>
      <c r="H9" s="7" t="n">
        <f aca="false">C9/INDEX($N$3:$N$7,MATCH(B9,$M$3:$M$7,0))*100</f>
        <v>0.788472862630553</v>
      </c>
      <c r="I9" s="7" t="n">
        <f aca="false">D9/INDEX($O$3:$O$7,MATCH(B9,$M$3:$M$7,0))*100</f>
        <v>0.166251039068994</v>
      </c>
      <c r="J9" s="7" t="s">
        <v>110</v>
      </c>
      <c r="K9" s="7"/>
    </row>
    <row r="10" customFormat="false" ht="15" hidden="false" customHeight="true" outlineLevel="0" collapsed="false">
      <c r="A10" s="7" t="s">
        <v>54</v>
      </c>
      <c r="B10" s="7" t="n">
        <v>2018</v>
      </c>
      <c r="C10" s="7" t="n">
        <v>18769</v>
      </c>
      <c r="D10" s="7" t="n">
        <v>7996</v>
      </c>
      <c r="E10" s="7" t="n">
        <v>17467</v>
      </c>
      <c r="F10" s="7" t="n">
        <f aca="false">D10/C10</f>
        <v>0.426021631413501</v>
      </c>
      <c r="G10" s="7" t="n">
        <f aca="false">D10/C10*100</f>
        <v>42.6021631413501</v>
      </c>
      <c r="H10" s="7" t="n">
        <f aca="false">C10/INDEX($N$3:$N$7,MATCH(B10,$M$3:$M$7,0))*100</f>
        <v>3.98998305708084</v>
      </c>
      <c r="I10" s="7" t="n">
        <f aca="false">D10/INDEX($O$3:$O$7,MATCH(B10,$M$3:$M$7,0))*100</f>
        <v>5.07382942135755</v>
      </c>
      <c r="J10" s="7" t="s">
        <v>110</v>
      </c>
      <c r="K10" s="7"/>
    </row>
    <row r="11" customFormat="false" ht="15" hidden="false" customHeight="true" outlineLevel="0" collapsed="false">
      <c r="A11" s="7" t="s">
        <v>55</v>
      </c>
      <c r="B11" s="7" t="n">
        <v>2018</v>
      </c>
      <c r="C11" s="7" t="n">
        <v>11238</v>
      </c>
      <c r="D11" s="7" t="n">
        <v>5118</v>
      </c>
      <c r="E11" s="7" t="n">
        <v>10020</v>
      </c>
      <c r="F11" s="7" t="n">
        <f aca="false">D11/C11</f>
        <v>0.455419113721303</v>
      </c>
      <c r="G11" s="7" t="n">
        <f aca="false">D11/C11*100</f>
        <v>45.5419113721303</v>
      </c>
      <c r="H11" s="7" t="n">
        <f aca="false">C11/INDEX($N$3:$N$7,MATCH(B11,$M$3:$M$7,0))*100</f>
        <v>2.38901537617745</v>
      </c>
      <c r="I11" s="7" t="n">
        <f aca="false">D11/INDEX($O$3:$O$7,MATCH(B11,$M$3:$M$7,0))*100</f>
        <v>3.24760617540119</v>
      </c>
      <c r="J11" s="7" t="s">
        <v>110</v>
      </c>
      <c r="K11" s="7"/>
    </row>
    <row r="12" customFormat="false" ht="15" hidden="false" customHeight="true" outlineLevel="0" collapsed="false">
      <c r="A12" s="7" t="s">
        <v>56</v>
      </c>
      <c r="B12" s="7" t="n">
        <v>2018</v>
      </c>
      <c r="C12" s="7" t="n">
        <v>3110</v>
      </c>
      <c r="D12" s="7" t="n">
        <v>1208</v>
      </c>
      <c r="E12" s="7" t="n">
        <v>5551</v>
      </c>
      <c r="F12" s="7" t="n">
        <f aca="false">D12/C12</f>
        <v>0.388424437299035</v>
      </c>
      <c r="G12" s="7" t="n">
        <f aca="false">D12/C12*100</f>
        <v>38.8424437299035</v>
      </c>
      <c r="H12" s="7" t="n">
        <f aca="false">C12/INDEX($N$3:$N$7,MATCH(B12,$M$3:$M$7,0))*100</f>
        <v>0.661135239358593</v>
      </c>
      <c r="I12" s="7" t="n">
        <f aca="false">D12/INDEX($O$3:$O$7,MATCH(B12,$M$3:$M$7,0))*100</f>
        <v>0.766531508379179</v>
      </c>
      <c r="J12" s="7" t="s">
        <v>110</v>
      </c>
      <c r="K12" s="7"/>
    </row>
    <row r="13" customFormat="false" ht="15" hidden="false" customHeight="true" outlineLevel="0" collapsed="false">
      <c r="A13" s="7" t="s">
        <v>57</v>
      </c>
      <c r="B13" s="7" t="n">
        <v>2018</v>
      </c>
      <c r="C13" s="7" t="n">
        <v>5394</v>
      </c>
      <c r="D13" s="7" t="n">
        <v>3542</v>
      </c>
      <c r="E13" s="7" t="n">
        <v>3975</v>
      </c>
      <c r="F13" s="7" t="n">
        <f aca="false">D13/C13</f>
        <v>0.656655543196144</v>
      </c>
      <c r="G13" s="7" t="n">
        <f aca="false">D13/C13*100</f>
        <v>65.6655543196144</v>
      </c>
      <c r="H13" s="7" t="n">
        <f aca="false">C13/INDEX($N$3:$N$7,MATCH(B13,$M$3:$M$7,0))*100</f>
        <v>1.14667636048239</v>
      </c>
      <c r="I13" s="7" t="n">
        <f aca="false">D13/INDEX($O$3:$O$7,MATCH(B13,$M$3:$M$7,0))*100</f>
        <v>2.24756175718465</v>
      </c>
      <c r="J13" s="7" t="s">
        <v>110</v>
      </c>
      <c r="K13" s="7"/>
    </row>
    <row r="14" customFormat="false" ht="15" hidden="false" customHeight="true" outlineLevel="0" collapsed="false">
      <c r="A14" s="7" t="s">
        <v>58</v>
      </c>
      <c r="B14" s="7" t="n">
        <v>2018</v>
      </c>
      <c r="C14" s="7" t="n">
        <v>41707</v>
      </c>
      <c r="D14" s="7" t="n">
        <v>10990</v>
      </c>
      <c r="E14" s="7" t="n">
        <v>51562</v>
      </c>
      <c r="F14" s="7" t="n">
        <f aca="false">D14/C14</f>
        <v>0.263504927230441</v>
      </c>
      <c r="G14" s="7" t="n">
        <f aca="false">D14/C14*100</f>
        <v>26.3504927230441</v>
      </c>
      <c r="H14" s="7" t="n">
        <f aca="false">C14/INDEX($N$3:$N$7,MATCH(B14,$M$3:$M$7,0))*100</f>
        <v>8.8662274687874</v>
      </c>
      <c r="I14" s="7" t="n">
        <f aca="false">D14/INDEX($O$3:$O$7,MATCH(B14,$M$3:$M$7,0))*100</f>
        <v>6.97365999758873</v>
      </c>
      <c r="J14" s="7" t="s">
        <v>110</v>
      </c>
      <c r="K14" s="7"/>
    </row>
    <row r="15" customFormat="false" ht="15" hidden="false" customHeight="true" outlineLevel="0" collapsed="false">
      <c r="A15" s="7" t="s">
        <v>59</v>
      </c>
      <c r="B15" s="7" t="n">
        <v>2018</v>
      </c>
      <c r="C15" s="7" t="n">
        <v>40181</v>
      </c>
      <c r="D15" s="7" t="n">
        <v>4303</v>
      </c>
      <c r="E15" s="7" t="n">
        <v>45458</v>
      </c>
      <c r="F15" s="7" t="n">
        <f aca="false">D15/C15</f>
        <v>0.107090415868196</v>
      </c>
      <c r="G15" s="7" t="n">
        <f aca="false">D15/C15*100</f>
        <v>10.7090415868196</v>
      </c>
      <c r="H15" s="7" t="n">
        <f aca="false">C15/INDEX($N$3:$N$7,MATCH(B15,$M$3:$M$7,0))*100</f>
        <v>8.54182477577737</v>
      </c>
      <c r="I15" s="7" t="n">
        <f aca="false">D15/INDEX($O$3:$O$7,MATCH(B15,$M$3:$M$7,0))*100</f>
        <v>2.7304512256255</v>
      </c>
      <c r="J15" s="7" t="s">
        <v>110</v>
      </c>
      <c r="K15" s="7"/>
    </row>
    <row r="16" customFormat="false" ht="15" hidden="false" customHeight="true" outlineLevel="0" collapsed="false">
      <c r="A16" s="7" t="s">
        <v>60</v>
      </c>
      <c r="B16" s="7" t="n">
        <v>2018</v>
      </c>
      <c r="C16" s="7" t="n">
        <v>51397</v>
      </c>
      <c r="D16" s="7" t="n">
        <v>10706</v>
      </c>
      <c r="E16" s="7" t="n">
        <v>54662</v>
      </c>
      <c r="F16" s="7" t="n">
        <f aca="false">D16/C16</f>
        <v>0.208300095336304</v>
      </c>
      <c r="G16" s="7" t="n">
        <f aca="false">D16/C16*100</f>
        <v>20.8300095336304</v>
      </c>
      <c r="H16" s="7" t="n">
        <f aca="false">C16/INDEX($N$3:$N$7,MATCH(B16,$M$3:$M$7,0))*100</f>
        <v>10.9261633110333</v>
      </c>
      <c r="I16" s="7" t="n">
        <f aca="false">D16/INDEX($O$3:$O$7,MATCH(B16,$M$3:$M$7,0))*100</f>
        <v>6.79344894760554</v>
      </c>
      <c r="J16" s="7" t="s">
        <v>110</v>
      </c>
      <c r="K16" s="7"/>
    </row>
    <row r="17" customFormat="false" ht="15" hidden="false" customHeight="true" outlineLevel="0" collapsed="false">
      <c r="A17" s="7" t="s">
        <v>61</v>
      </c>
      <c r="B17" s="7" t="n">
        <v>2018</v>
      </c>
      <c r="C17" s="7" t="n">
        <v>35717</v>
      </c>
      <c r="D17" s="7" t="n">
        <v>13261</v>
      </c>
      <c r="E17" s="7" t="n">
        <v>31365</v>
      </c>
      <c r="F17" s="7" t="n">
        <f aca="false">D17/C17</f>
        <v>0.371279782736512</v>
      </c>
      <c r="G17" s="7" t="n">
        <f aca="false">D17/C17*100</f>
        <v>37.1279782736512</v>
      </c>
      <c r="H17" s="7" t="n">
        <f aca="false">C17/INDEX($N$3:$N$7,MATCH(B17,$M$3:$M$7,0))*100</f>
        <v>7.5928512360678</v>
      </c>
      <c r="I17" s="7" t="n">
        <f aca="false">D17/INDEX($O$3:$O$7,MATCH(B17,$M$3:$M$7,0))*100</f>
        <v>8.41471385150356</v>
      </c>
      <c r="J17" s="7" t="s">
        <v>110</v>
      </c>
      <c r="K17" s="7"/>
    </row>
    <row r="18" customFormat="false" ht="15" hidden="false" customHeight="true" outlineLevel="0" collapsed="false">
      <c r="A18" s="7" t="s">
        <v>62</v>
      </c>
      <c r="B18" s="7" t="n">
        <v>2018</v>
      </c>
      <c r="C18" s="7" t="n">
        <v>601</v>
      </c>
      <c r="D18" s="7" t="n">
        <v>134</v>
      </c>
      <c r="E18" s="7" t="n">
        <v>1042</v>
      </c>
      <c r="F18" s="7" t="n">
        <f aca="false">D18/C18</f>
        <v>0.222961730449251</v>
      </c>
      <c r="G18" s="7" t="n">
        <f aca="false">D18/C18*100</f>
        <v>22.2961730449251</v>
      </c>
      <c r="H18" s="7" t="n">
        <f aca="false">C18/INDEX($N$3:$N$7,MATCH(B18,$M$3:$M$7,0))*100</f>
        <v>0.127762790628461</v>
      </c>
      <c r="I18" s="7" t="n">
        <f aca="false">D18/INDEX($O$3:$O$7,MATCH(B18,$M$3:$M$7,0))*100</f>
        <v>0.0850291573864321</v>
      </c>
      <c r="J18" s="7" t="s">
        <v>110</v>
      </c>
      <c r="K18" s="7"/>
    </row>
    <row r="19" customFormat="false" ht="15" hidden="false" customHeight="true" outlineLevel="0" collapsed="false">
      <c r="A19" s="7" t="s">
        <v>63</v>
      </c>
      <c r="B19" s="7" t="n">
        <v>2018</v>
      </c>
      <c r="C19" s="7" t="n">
        <v>399</v>
      </c>
      <c r="D19" s="7" t="n">
        <v>182</v>
      </c>
      <c r="E19" s="7" t="n">
        <v>205</v>
      </c>
      <c r="F19" s="7" t="n">
        <f aca="false">D19/C19</f>
        <v>0.456140350877193</v>
      </c>
      <c r="G19" s="7" t="n">
        <f aca="false">D19/C19*100</f>
        <v>45.6140350877193</v>
      </c>
      <c r="H19" s="7" t="n">
        <f aca="false">C19/INDEX($N$3:$N$7,MATCH(B19,$M$3:$M$7,0))*100</f>
        <v>0.0848208876218902</v>
      </c>
      <c r="I19" s="7" t="n">
        <f aca="false">D19/INDEX($O$3:$O$7,MATCH(B19,$M$3:$M$7,0))*100</f>
        <v>0.115487363017393</v>
      </c>
      <c r="J19" s="7" t="s">
        <v>110</v>
      </c>
      <c r="K19" s="7"/>
    </row>
    <row r="20" customFormat="false" ht="15" hidden="false" customHeight="true" outlineLevel="0" collapsed="false">
      <c r="A20" s="7" t="s">
        <v>64</v>
      </c>
      <c r="B20" s="7" t="n">
        <v>2018</v>
      </c>
      <c r="C20" s="7" t="n">
        <v>53</v>
      </c>
      <c r="D20" s="7" t="n">
        <v>45</v>
      </c>
      <c r="E20" s="7" t="n">
        <v>80</v>
      </c>
      <c r="F20" s="7" t="n">
        <f aca="false">D20/C20</f>
        <v>0.849056603773585</v>
      </c>
      <c r="G20" s="7" t="n">
        <f aca="false">D20/C20*100</f>
        <v>84.9056603773585</v>
      </c>
      <c r="H20" s="7" t="n">
        <f aca="false">C20/INDEX($N$3:$N$7,MATCH(B20,$M$3:$M$7,0))*100</f>
        <v>0.0112669349472686</v>
      </c>
      <c r="I20" s="7" t="n">
        <f aca="false">D20/INDEX($O$3:$O$7,MATCH(B20,$M$3:$M$7,0))*100</f>
        <v>0.0285545677790257</v>
      </c>
      <c r="J20" s="7" t="s">
        <v>110</v>
      </c>
      <c r="K20" s="7"/>
    </row>
    <row r="21" customFormat="false" ht="15" hidden="false" customHeight="true" outlineLevel="0" collapsed="false">
      <c r="A21" s="7" t="s">
        <v>65</v>
      </c>
      <c r="B21" s="7" t="n">
        <v>2018</v>
      </c>
      <c r="C21" s="7" t="n">
        <v>430</v>
      </c>
      <c r="D21" s="7" t="n">
        <v>39</v>
      </c>
      <c r="E21" s="7" t="n">
        <v>335</v>
      </c>
      <c r="F21" s="7" t="n">
        <f aca="false">D21/C21</f>
        <v>0.0906976744186047</v>
      </c>
      <c r="G21" s="7" t="n">
        <f aca="false">D21/C21*100</f>
        <v>9.06976744186047</v>
      </c>
      <c r="H21" s="7" t="n">
        <f aca="false">C21/INDEX($N$3:$N$7,MATCH(B21,$M$3:$M$7,0))*100</f>
        <v>0.0914109816476511</v>
      </c>
      <c r="I21" s="7" t="n">
        <f aca="false">D21/INDEX($O$3:$O$7,MATCH(B21,$M$3:$M$7,0))*100</f>
        <v>0.0247472920751556</v>
      </c>
      <c r="J21" s="7" t="s">
        <v>110</v>
      </c>
      <c r="K21" s="7"/>
    </row>
    <row r="22" customFormat="false" ht="15" hidden="false" customHeight="true" outlineLevel="0" collapsed="false">
      <c r="A22" s="7" t="s">
        <v>66</v>
      </c>
      <c r="B22" s="7" t="n">
        <v>2018</v>
      </c>
      <c r="C22" s="7" t="n">
        <v>11262</v>
      </c>
      <c r="D22" s="7" t="n">
        <v>5315</v>
      </c>
      <c r="E22" s="7" t="n">
        <v>11794</v>
      </c>
      <c r="F22" s="7" t="n">
        <f aca="false">D22/C22</f>
        <v>0.471941040667732</v>
      </c>
      <c r="G22" s="7" t="n">
        <f aca="false">D22/C22*100</f>
        <v>47.1941040667732</v>
      </c>
      <c r="H22" s="7" t="n">
        <f aca="false">C22/INDEX($N$3:$N$7,MATCH(B22,$M$3:$M$7,0))*100</f>
        <v>2.39411738445546</v>
      </c>
      <c r="I22" s="7" t="n">
        <f aca="false">D22/INDEX($O$3:$O$7,MATCH(B22,$M$3:$M$7,0))*100</f>
        <v>3.37261172767826</v>
      </c>
      <c r="J22" s="7" t="s">
        <v>110</v>
      </c>
      <c r="K22" s="7"/>
    </row>
    <row r="23" customFormat="false" ht="15" hidden="false" customHeight="true" outlineLevel="0" collapsed="false">
      <c r="A23" s="7" t="s">
        <v>67</v>
      </c>
      <c r="B23" s="7" t="n">
        <v>2018</v>
      </c>
      <c r="C23" s="7" t="n">
        <v>6428</v>
      </c>
      <c r="D23" s="7" t="n">
        <v>4740</v>
      </c>
      <c r="E23" s="7" t="n">
        <v>3384</v>
      </c>
      <c r="F23" s="7" t="n">
        <f aca="false">D23/C23</f>
        <v>0.737398879900436</v>
      </c>
      <c r="G23" s="7" t="n">
        <f aca="false">D23/C23*100</f>
        <v>73.7398879900436</v>
      </c>
      <c r="H23" s="7" t="n">
        <f aca="false">C23/INDEX($N$3:$N$7,MATCH(B23,$M$3:$M$7,0))*100</f>
        <v>1.36648788379326</v>
      </c>
      <c r="I23" s="7" t="n">
        <f aca="false">D23/INDEX($O$3:$O$7,MATCH(B23,$M$3:$M$7,0))*100</f>
        <v>3.00774780605738</v>
      </c>
      <c r="J23" s="7" t="s">
        <v>110</v>
      </c>
      <c r="K23" s="7"/>
    </row>
    <row r="24" customFormat="false" ht="15" hidden="false" customHeight="true" outlineLevel="0" collapsed="false">
      <c r="A24" s="7" t="s">
        <v>68</v>
      </c>
      <c r="B24" s="7" t="n">
        <v>2018</v>
      </c>
      <c r="C24" s="7" t="n">
        <v>21743</v>
      </c>
      <c r="D24" s="7" t="n">
        <v>10320</v>
      </c>
      <c r="E24" s="7" t="n">
        <v>21547</v>
      </c>
      <c r="F24" s="7" t="n">
        <f aca="false">D24/C24</f>
        <v>0.474635514878352</v>
      </c>
      <c r="G24" s="7" t="n">
        <f aca="false">D24/C24*100</f>
        <v>47.4635514878352</v>
      </c>
      <c r="H24" s="7" t="n">
        <f aca="false">C24/INDEX($N$3:$N$7,MATCH(B24,$M$3:$M$7,0))*100</f>
        <v>4.62220691619739</v>
      </c>
      <c r="I24" s="7" t="n">
        <f aca="false">D24/INDEX($O$3:$O$7,MATCH(B24,$M$3:$M$7,0))*100</f>
        <v>6.54851421065656</v>
      </c>
      <c r="J24" s="7" t="s">
        <v>110</v>
      </c>
      <c r="K24" s="7"/>
    </row>
    <row r="25" customFormat="false" ht="15" hidden="false" customHeight="true" outlineLevel="0" collapsed="false">
      <c r="A25" s="7" t="s">
        <v>69</v>
      </c>
      <c r="B25" s="7" t="n">
        <v>2018</v>
      </c>
      <c r="C25" s="7" t="n">
        <v>180</v>
      </c>
      <c r="D25" s="7" t="n">
        <v>85</v>
      </c>
      <c r="E25" s="7" t="n">
        <v>370</v>
      </c>
      <c r="F25" s="7" t="n">
        <f aca="false">D25/C25</f>
        <v>0.472222222222222</v>
      </c>
      <c r="G25" s="7" t="n">
        <f aca="false">D25/C25*100</f>
        <v>47.2222222222222</v>
      </c>
      <c r="H25" s="7" t="n">
        <f aca="false">C25/INDEX($N$3:$N$7,MATCH(B25,$M$3:$M$7,0))*100</f>
        <v>0.0382650620850632</v>
      </c>
      <c r="I25" s="7" t="n">
        <f aca="false">D25/INDEX($O$3:$O$7,MATCH(B25,$M$3:$M$7,0))*100</f>
        <v>0.0539364058048264</v>
      </c>
      <c r="J25" s="7" t="s">
        <v>110</v>
      </c>
      <c r="K25" s="7"/>
    </row>
    <row r="26" customFormat="false" ht="15" hidden="false" customHeight="true" outlineLevel="0" collapsed="false">
      <c r="A26" s="7" t="s">
        <v>70</v>
      </c>
      <c r="B26" s="7" t="n">
        <v>2018</v>
      </c>
      <c r="C26" s="7" t="n">
        <v>67279</v>
      </c>
      <c r="D26" s="7" t="n">
        <v>18392</v>
      </c>
      <c r="E26" s="7" t="n">
        <v>69834</v>
      </c>
      <c r="F26" s="7" t="n">
        <f aca="false">D26/C26</f>
        <v>0.273369104772663</v>
      </c>
      <c r="G26" s="7" t="n">
        <f aca="false">D26/C26*100</f>
        <v>27.3369104772663</v>
      </c>
      <c r="H26" s="7" t="n">
        <f aca="false">C26/INDEX($N$3:$N$7,MATCH(B26,$M$3:$M$7,0))*100</f>
        <v>14.3024172890054</v>
      </c>
      <c r="I26" s="7" t="n">
        <f aca="false">D26/INDEX($O$3:$O$7,MATCH(B26,$M$3:$M$7,0))*100</f>
        <v>11.6705691242631</v>
      </c>
      <c r="J26" s="7" t="s">
        <v>110</v>
      </c>
      <c r="K26" s="7"/>
    </row>
    <row r="27" customFormat="false" ht="15" hidden="false" customHeight="true" outlineLevel="0" collapsed="false">
      <c r="A27" s="7" t="s">
        <v>71</v>
      </c>
      <c r="B27" s="7" t="n">
        <v>2018</v>
      </c>
      <c r="C27" s="7" t="n">
        <v>22230</v>
      </c>
      <c r="D27" s="7" t="n">
        <v>6603</v>
      </c>
      <c r="E27" s="7" t="n">
        <v>23613</v>
      </c>
      <c r="F27" s="7" t="n">
        <f aca="false">D27/C27</f>
        <v>0.297031039136302</v>
      </c>
      <c r="G27" s="7" t="n">
        <f aca="false">D27/C27*100</f>
        <v>29.7031039136302</v>
      </c>
      <c r="H27" s="7" t="n">
        <f aca="false">C27/INDEX($N$3:$N$7,MATCH(B27,$M$3:$M$7,0))*100</f>
        <v>4.72573516750531</v>
      </c>
      <c r="I27" s="7" t="n">
        <f aca="false">D27/INDEX($O$3:$O$7,MATCH(B27,$M$3:$M$7,0))*100</f>
        <v>4.18990691210904</v>
      </c>
      <c r="J27" s="7" t="s">
        <v>110</v>
      </c>
      <c r="K27" s="7"/>
    </row>
    <row r="28" customFormat="false" ht="15" hidden="false" customHeight="true" outlineLevel="0" collapsed="false">
      <c r="A28" s="7" t="s">
        <v>72</v>
      </c>
      <c r="B28" s="7" t="n">
        <v>2018</v>
      </c>
      <c r="C28" s="7" t="n">
        <v>552</v>
      </c>
      <c r="D28" s="7" t="n">
        <v>213</v>
      </c>
      <c r="E28" s="7" t="n">
        <v>741</v>
      </c>
      <c r="F28" s="7" t="n">
        <f aca="false">D28/C28</f>
        <v>0.385869565217391</v>
      </c>
      <c r="G28" s="7" t="n">
        <f aca="false">D28/C28*100</f>
        <v>38.5869565217391</v>
      </c>
      <c r="H28" s="7" t="n">
        <f aca="false">C28/INDEX($N$3:$N$7,MATCH(B28,$M$3:$M$7,0))*100</f>
        <v>0.117346190394194</v>
      </c>
      <c r="I28" s="7" t="n">
        <f aca="false">D28/INDEX($O$3:$O$7,MATCH(B28,$M$3:$M$7,0))*100</f>
        <v>0.135158287487388</v>
      </c>
      <c r="J28" s="7" t="s">
        <v>110</v>
      </c>
      <c r="K28" s="7"/>
    </row>
    <row r="29" customFormat="false" ht="15" hidden="false" customHeight="true" outlineLevel="0" collapsed="false">
      <c r="A29" s="7" t="s">
        <v>73</v>
      </c>
      <c r="B29" s="7" t="n">
        <v>2018</v>
      </c>
      <c r="C29" s="7" t="n">
        <v>1468</v>
      </c>
      <c r="D29" s="7" t="n">
        <v>1047</v>
      </c>
      <c r="E29" s="7" t="n">
        <v>1571</v>
      </c>
      <c r="F29" s="7" t="n">
        <f aca="false">D29/C29</f>
        <v>0.713215258855586</v>
      </c>
      <c r="G29" s="7" t="n">
        <f aca="false">D29/C29*100</f>
        <v>71.3215258855586</v>
      </c>
      <c r="H29" s="7" t="n">
        <f aca="false">C29/INDEX($N$3:$N$7,MATCH(B29,$M$3:$M$7,0))*100</f>
        <v>0.312072839671516</v>
      </c>
      <c r="I29" s="7" t="n">
        <f aca="false">D29/INDEX($O$3:$O$7,MATCH(B29,$M$3:$M$7,0))*100</f>
        <v>0.664369610325332</v>
      </c>
      <c r="J29" s="7" t="s">
        <v>110</v>
      </c>
      <c r="K29" s="7"/>
    </row>
    <row r="30" customFormat="false" ht="15" hidden="false" customHeight="true" outlineLevel="0" collapsed="false">
      <c r="A30" s="7" t="s">
        <v>74</v>
      </c>
      <c r="B30" s="7" t="n">
        <v>2018</v>
      </c>
      <c r="C30" s="7" t="n">
        <v>42568</v>
      </c>
      <c r="D30" s="7" t="n">
        <v>22256</v>
      </c>
      <c r="E30" s="7" t="n">
        <v>29664</v>
      </c>
      <c r="F30" s="7" t="n">
        <f aca="false">D30/C30</f>
        <v>0.522834053749295</v>
      </c>
      <c r="G30" s="7" t="n">
        <f aca="false">D30/C30*100</f>
        <v>52.2834053749295</v>
      </c>
      <c r="H30" s="7" t="n">
        <f aca="false">C30/INDEX($N$3:$N$7,MATCH(B30,$M$3:$M$7,0))*100</f>
        <v>9.04926201576095</v>
      </c>
      <c r="I30" s="7" t="n">
        <f aca="false">D30/INDEX($O$3:$O$7,MATCH(B30,$M$3:$M$7,0))*100</f>
        <v>14.1224546775555</v>
      </c>
      <c r="J30" s="7" t="s">
        <v>110</v>
      </c>
      <c r="K30" s="7"/>
    </row>
    <row r="31" customFormat="false" ht="15" hidden="false" customHeight="true" outlineLevel="0" collapsed="false">
      <c r="A31" s="7" t="s">
        <v>75</v>
      </c>
      <c r="B31" s="7" t="n">
        <v>2018</v>
      </c>
      <c r="C31" s="7" t="n">
        <v>12705</v>
      </c>
      <c r="D31" s="7" t="n">
        <v>5711</v>
      </c>
      <c r="E31" s="7" t="n">
        <v>11997</v>
      </c>
      <c r="F31" s="7" t="n">
        <f aca="false">D31/C31</f>
        <v>0.449508067689886</v>
      </c>
      <c r="G31" s="7" t="n">
        <f aca="false">D31/C31*100</f>
        <v>44.9508067689886</v>
      </c>
      <c r="H31" s="7" t="n">
        <f aca="false">C31/INDEX($N$3:$N$7,MATCH(B31,$M$3:$M$7,0))*100</f>
        <v>2.70087563217071</v>
      </c>
      <c r="I31" s="7" t="n">
        <f aca="false">D31/INDEX($O$3:$O$7,MATCH(B31,$M$3:$M$7,0))*100</f>
        <v>3.62389192413369</v>
      </c>
      <c r="J31" s="7" t="s">
        <v>110</v>
      </c>
      <c r="K31" s="7"/>
    </row>
    <row r="32" customFormat="false" ht="15" hidden="false" customHeight="true" outlineLevel="0" collapsed="false">
      <c r="A32" s="7" t="s">
        <v>76</v>
      </c>
      <c r="B32" s="7" t="n">
        <v>2018</v>
      </c>
      <c r="C32" s="7" t="n">
        <v>254</v>
      </c>
      <c r="D32" s="7" t="n">
        <v>19</v>
      </c>
      <c r="E32" s="7" t="n">
        <v>260</v>
      </c>
      <c r="F32" s="7" t="n">
        <f aca="false">D32/C32</f>
        <v>0.0748031496062992</v>
      </c>
      <c r="G32" s="7" t="n">
        <f aca="false">D32/C32*100</f>
        <v>7.48031496062992</v>
      </c>
      <c r="H32" s="7" t="n">
        <f aca="false">C32/INDEX($N$3:$N$7,MATCH(B32,$M$3:$M$7,0))*100</f>
        <v>0.0539962542755892</v>
      </c>
      <c r="I32" s="7" t="n">
        <f aca="false">D32/INDEX($O$3:$O$7,MATCH(B32,$M$3:$M$7,0))*100</f>
        <v>0.0120563730622553</v>
      </c>
      <c r="J32" s="7" t="s">
        <v>110</v>
      </c>
      <c r="K32" s="7"/>
    </row>
    <row r="33" customFormat="false" ht="15" hidden="false" customHeight="true" outlineLevel="0" collapsed="false">
      <c r="A33" s="7" t="s">
        <v>77</v>
      </c>
      <c r="B33" s="7" t="n">
        <v>2018</v>
      </c>
      <c r="C33" s="7" t="n">
        <v>316</v>
      </c>
      <c r="D33" s="7" t="n">
        <v>98</v>
      </c>
      <c r="E33" s="7" t="n">
        <v>300</v>
      </c>
      <c r="F33" s="7" t="n">
        <f aca="false">D33/C33</f>
        <v>0.310126582278481</v>
      </c>
      <c r="G33" s="7" t="n">
        <f aca="false">D33/C33*100</f>
        <v>31.0126582278481</v>
      </c>
      <c r="H33" s="7" t="n">
        <f aca="false">C33/INDEX($N$3:$N$7,MATCH(B33,$M$3:$M$7,0))*100</f>
        <v>0.067176442327111</v>
      </c>
      <c r="I33" s="7" t="n">
        <f aca="false">D33/INDEX($O$3:$O$7,MATCH(B33,$M$3:$M$7,0))*100</f>
        <v>0.0621855031632116</v>
      </c>
      <c r="J33" s="7" t="s">
        <v>110</v>
      </c>
      <c r="K33" s="7"/>
    </row>
    <row r="34" customFormat="false" ht="15" hidden="false" customHeight="true" outlineLevel="0" collapsed="false">
      <c r="A34" s="7" t="s">
        <v>78</v>
      </c>
      <c r="B34" s="7" t="n">
        <v>2018</v>
      </c>
      <c r="C34" s="7" t="n">
        <v>80</v>
      </c>
      <c r="D34" s="7" t="n">
        <v>54</v>
      </c>
      <c r="E34" s="7" t="n">
        <v>66</v>
      </c>
      <c r="F34" s="7" t="n">
        <f aca="false">D34/C34</f>
        <v>0.675</v>
      </c>
      <c r="G34" s="7" t="n">
        <f aca="false">D34/C34*100</f>
        <v>67.5</v>
      </c>
      <c r="H34" s="7" t="n">
        <f aca="false">C34/INDEX($N$3:$N$7,MATCH(B34,$M$3:$M$7,0))*100</f>
        <v>0.0170066942600281</v>
      </c>
      <c r="I34" s="7" t="n">
        <f aca="false">D34/INDEX($O$3:$O$7,MATCH(B34,$M$3:$M$7,0))*100</f>
        <v>0.0342654813348309</v>
      </c>
      <c r="J34" s="7" t="s">
        <v>110</v>
      </c>
      <c r="K34" s="7" t="s">
        <v>111</v>
      </c>
    </row>
    <row r="35" customFormat="false" ht="15" hidden="false" customHeight="true" outlineLevel="0" collapsed="false">
      <c r="A35" s="7" t="s">
        <v>79</v>
      </c>
      <c r="B35" s="7" t="n">
        <v>2018</v>
      </c>
      <c r="C35" s="7" t="n">
        <v>76</v>
      </c>
      <c r="D35" s="7" t="n">
        <v>35</v>
      </c>
      <c r="E35" s="7" t="n">
        <v>94</v>
      </c>
      <c r="F35" s="7" t="n">
        <f aca="false">D35/C35</f>
        <v>0.460526315789474</v>
      </c>
      <c r="G35" s="7" t="n">
        <f aca="false">D35/C35*100</f>
        <v>46.0526315789474</v>
      </c>
      <c r="H35" s="7" t="n">
        <f aca="false">C35/INDEX($N$3:$N$7,MATCH(B35,$M$3:$M$7,0))*100</f>
        <v>0.0161563595470267</v>
      </c>
      <c r="I35" s="7" t="n">
        <f aca="false">D35/INDEX($O$3:$O$7,MATCH(B35,$M$3:$M$7,0))*100</f>
        <v>0.0222091082725756</v>
      </c>
      <c r="J35" s="7" t="s">
        <v>110</v>
      </c>
      <c r="K35" s="7" t="s">
        <v>111</v>
      </c>
    </row>
    <row r="36" customFormat="false" ht="15" hidden="false" customHeight="true" outlineLevel="0" collapsed="false">
      <c r="A36" s="7" t="s">
        <v>80</v>
      </c>
      <c r="B36" s="7" t="n">
        <v>2018</v>
      </c>
      <c r="C36" s="7" t="n">
        <v>6515</v>
      </c>
      <c r="D36" s="7" t="n">
        <v>1690</v>
      </c>
      <c r="E36" s="7" t="n">
        <v>6086</v>
      </c>
      <c r="F36" s="7" t="n">
        <f aca="false">D36/C36</f>
        <v>0.259401381427475</v>
      </c>
      <c r="G36" s="7" t="n">
        <f aca="false">D36/C36*100</f>
        <v>25.9401381427475</v>
      </c>
      <c r="H36" s="7" t="n">
        <f aca="false">C36/INDEX($N$3:$N$7,MATCH(B36,$M$3:$M$7,0))*100</f>
        <v>1.38498266380104</v>
      </c>
      <c r="I36" s="7" t="n">
        <f aca="false">D36/INDEX($O$3:$O$7,MATCH(B36,$M$3:$M$7,0))*100</f>
        <v>1.07238265659008</v>
      </c>
      <c r="J36" s="7" t="s">
        <v>110</v>
      </c>
      <c r="K36" s="7"/>
    </row>
    <row r="37" customFormat="false" ht="15" hidden="false" customHeight="true" outlineLevel="0" collapsed="false">
      <c r="A37" s="7" t="s">
        <v>81</v>
      </c>
      <c r="B37" s="7" t="n">
        <v>2018</v>
      </c>
      <c r="C37" s="7" t="n">
        <v>5978</v>
      </c>
      <c r="D37" s="7" t="n">
        <v>984</v>
      </c>
      <c r="E37" s="7" t="n">
        <v>7845</v>
      </c>
      <c r="F37" s="7" t="n">
        <f aca="false">D37/C37</f>
        <v>0.164603546336567</v>
      </c>
      <c r="G37" s="7" t="n">
        <f aca="false">D37/C37*100</f>
        <v>16.4603546336567</v>
      </c>
      <c r="H37" s="7" t="n">
        <f aca="false">C37/INDEX($N$3:$N$7,MATCH(B37,$M$3:$M$7,0))*100</f>
        <v>1.2708252285806</v>
      </c>
      <c r="I37" s="7" t="n">
        <f aca="false">D37/INDEX($O$3:$O$7,MATCH(B37,$M$3:$M$7,0))*100</f>
        <v>0.624393215434696</v>
      </c>
      <c r="J37" s="7" t="s">
        <v>110</v>
      </c>
      <c r="K37" s="7" t="s">
        <v>112</v>
      </c>
    </row>
    <row r="38" customFormat="false" ht="15" hidden="false" customHeight="true" outlineLevel="0" collapsed="false">
      <c r="A38" s="9" t="s">
        <v>82</v>
      </c>
      <c r="B38" s="9" t="n">
        <v>2018</v>
      </c>
      <c r="C38" s="9" t="s">
        <v>113</v>
      </c>
      <c r="D38" s="9" t="s">
        <v>113</v>
      </c>
      <c r="E38" s="9"/>
      <c r="F38" s="9" t="s">
        <v>113</v>
      </c>
      <c r="G38" s="9" t="s">
        <v>113</v>
      </c>
      <c r="H38" s="9" t="s">
        <v>113</v>
      </c>
      <c r="I38" s="9" t="s">
        <v>113</v>
      </c>
      <c r="J38" s="9" t="s">
        <v>114</v>
      </c>
      <c r="K38" s="9"/>
    </row>
    <row r="39" customFormat="false" ht="15" hidden="false" customHeight="true" outlineLevel="0" collapsed="false">
      <c r="A39" s="7" t="s">
        <v>83</v>
      </c>
      <c r="B39" s="7" t="n">
        <v>2018</v>
      </c>
      <c r="C39" s="7" t="n">
        <v>3</v>
      </c>
      <c r="D39" s="7" t="n">
        <v>1</v>
      </c>
      <c r="E39" s="7" t="n">
        <v>3</v>
      </c>
      <c r="F39" s="7" t="n">
        <f aca="false">D39/C39</f>
        <v>0.333333333333333</v>
      </c>
      <c r="G39" s="7" t="n">
        <f aca="false">D39/C39*100</f>
        <v>33.3333333333333</v>
      </c>
      <c r="H39" s="7" t="n">
        <f aca="false">C39/INDEX($N$3:$N$7,MATCH(B39,$M$3:$M$7,0))*100</f>
        <v>0.000637751034751054</v>
      </c>
      <c r="I39" s="7" t="n">
        <f aca="false">D39/INDEX($O$3:$O$7,MATCH(B39,$M$3:$M$7,0))*100</f>
        <v>0.000634545950645016</v>
      </c>
      <c r="J39" s="7" t="s">
        <v>110</v>
      </c>
      <c r="K39" s="7"/>
    </row>
    <row r="40" customFormat="false" ht="15" hidden="false" customHeight="true" outlineLevel="0" collapsed="false">
      <c r="A40" s="7" t="s">
        <v>84</v>
      </c>
      <c r="B40" s="7" t="n">
        <v>2018</v>
      </c>
      <c r="C40" s="7" t="n">
        <v>1597</v>
      </c>
      <c r="D40" s="7" t="n">
        <v>226</v>
      </c>
      <c r="E40" s="7" t="n">
        <v>1727</v>
      </c>
      <c r="F40" s="7" t="n">
        <f aca="false">D40/C40</f>
        <v>0.141515341264872</v>
      </c>
      <c r="G40" s="7" t="n">
        <f aca="false">D40/C40*100</f>
        <v>14.1515341264872</v>
      </c>
      <c r="H40" s="7" t="n">
        <f aca="false">C40/INDEX($N$3:$N$7,MATCH(B40,$M$3:$M$7,0))*100</f>
        <v>0.339496134165811</v>
      </c>
      <c r="I40" s="7" t="n">
        <f aca="false">D40/INDEX($O$3:$O$7,MATCH(B40,$M$3:$M$7,0))*100</f>
        <v>0.143407384845774</v>
      </c>
      <c r="J40" s="7" t="s">
        <v>110</v>
      </c>
      <c r="K40" s="7"/>
    </row>
    <row r="41" customFormat="false" ht="15" hidden="false" customHeight="true" outlineLevel="0" collapsed="false">
      <c r="A41" s="7" t="s">
        <v>48</v>
      </c>
      <c r="B41" s="7" t="n">
        <v>2019</v>
      </c>
      <c r="C41" s="7" t="n">
        <v>21992</v>
      </c>
      <c r="D41" s="7" t="n">
        <v>7984</v>
      </c>
      <c r="E41" s="7" t="n">
        <v>24619</v>
      </c>
      <c r="F41" s="7" t="n">
        <f aca="false">D41/C41</f>
        <v>0.363041105856675</v>
      </c>
      <c r="G41" s="7" t="n">
        <f aca="false">D41/C41*100</f>
        <v>36.3041105856675</v>
      </c>
      <c r="H41" s="7" t="n">
        <f aca="false">C41/INDEX($N$3:$N$7,MATCH(B41,$M$3:$M$7,0))*100</f>
        <v>4.81268560199055</v>
      </c>
      <c r="I41" s="7" t="n">
        <f aca="false">D41/INDEX($O$3:$O$7,MATCH(B41,$M$3:$M$7,0))*100</f>
        <v>5.02188899511901</v>
      </c>
      <c r="J41" s="7" t="s">
        <v>110</v>
      </c>
      <c r="K41" s="7"/>
    </row>
    <row r="42" customFormat="false" ht="15" hidden="false" customHeight="true" outlineLevel="0" collapsed="false">
      <c r="A42" s="7" t="s">
        <v>49</v>
      </c>
      <c r="B42" s="7" t="n">
        <v>2019</v>
      </c>
      <c r="C42" s="7" t="n">
        <v>237</v>
      </c>
      <c r="D42" s="7" t="n">
        <v>127</v>
      </c>
      <c r="E42" s="7" t="n">
        <v>309</v>
      </c>
      <c r="F42" s="7" t="n">
        <f aca="false">D42/C42</f>
        <v>0.535864978902954</v>
      </c>
      <c r="G42" s="7" t="n">
        <f aca="false">D42/C42*100</f>
        <v>53.5864978902954</v>
      </c>
      <c r="H42" s="7" t="n">
        <f aca="false">C42/INDEX($N$3:$N$7,MATCH(B42,$M$3:$M$7,0))*100</f>
        <v>0.0518646092975519</v>
      </c>
      <c r="I42" s="7" t="n">
        <f aca="false">D42/INDEX($O$3:$O$7,MATCH(B42,$M$3:$M$7,0))*100</f>
        <v>0.0798822523021185</v>
      </c>
      <c r="J42" s="7" t="s">
        <v>110</v>
      </c>
      <c r="K42" s="7"/>
    </row>
    <row r="43" customFormat="false" ht="15" hidden="false" customHeight="true" outlineLevel="0" collapsed="false">
      <c r="A43" s="7" t="s">
        <v>50</v>
      </c>
      <c r="B43" s="7" t="n">
        <v>2019</v>
      </c>
      <c r="C43" s="7" t="n">
        <v>8350</v>
      </c>
      <c r="D43" s="7" t="n">
        <v>3208</v>
      </c>
      <c r="E43" s="7" t="n">
        <v>7473</v>
      </c>
      <c r="F43" s="7" t="n">
        <f aca="false">D43/C43</f>
        <v>0.384191616766467</v>
      </c>
      <c r="G43" s="7" t="n">
        <f aca="false">D43/C43*100</f>
        <v>38.4191616766467</v>
      </c>
      <c r="H43" s="7" t="n">
        <f aca="false">C43/INDEX($N$3:$N$7,MATCH(B43,$M$3:$M$7,0))*100</f>
        <v>1.82729741617957</v>
      </c>
      <c r="I43" s="7" t="n">
        <f aca="false">D43/INDEX($O$3:$O$7,MATCH(B43,$M$3:$M$7,0))*100</f>
        <v>2.01781311326926</v>
      </c>
      <c r="J43" s="7" t="s">
        <v>110</v>
      </c>
      <c r="K43" s="7"/>
    </row>
    <row r="44" customFormat="false" ht="15" hidden="false" customHeight="true" outlineLevel="0" collapsed="false">
      <c r="A44" s="7" t="s">
        <v>51</v>
      </c>
      <c r="B44" s="7" t="n">
        <v>2019</v>
      </c>
      <c r="C44" s="7" t="n">
        <v>10007</v>
      </c>
      <c r="D44" s="7" t="n">
        <v>7205</v>
      </c>
      <c r="E44" s="7" t="n">
        <v>7206</v>
      </c>
      <c r="F44" s="7" t="n">
        <f aca="false">D44/C44</f>
        <v>0.719996002798041</v>
      </c>
      <c r="G44" s="7" t="n">
        <f aca="false">D44/C44*100</f>
        <v>71.9996002798041</v>
      </c>
      <c r="H44" s="7" t="n">
        <f aca="false">C44/INDEX($N$3:$N$7,MATCH(B44,$M$3:$M$7,0))*100</f>
        <v>2.18991200523461</v>
      </c>
      <c r="I44" s="7" t="n">
        <f aca="false">D44/INDEX($O$3:$O$7,MATCH(B44,$M$3:$M$7,0))*100</f>
        <v>4.53190258139184</v>
      </c>
      <c r="J44" s="7" t="s">
        <v>110</v>
      </c>
      <c r="K44" s="7"/>
    </row>
    <row r="45" customFormat="false" ht="15" hidden="false" customHeight="true" outlineLevel="0" collapsed="false">
      <c r="A45" s="7" t="s">
        <v>52</v>
      </c>
      <c r="B45" s="7" t="n">
        <v>2019</v>
      </c>
      <c r="C45" s="7" t="n">
        <v>13899</v>
      </c>
      <c r="D45" s="7" t="n">
        <v>5003</v>
      </c>
      <c r="E45" s="7" t="n">
        <v>13090</v>
      </c>
      <c r="F45" s="7" t="n">
        <f aca="false">D45/C45</f>
        <v>0.359953953521836</v>
      </c>
      <c r="G45" s="7" t="n">
        <f aca="false">D45/C45*100</f>
        <v>35.9953953521836</v>
      </c>
      <c r="H45" s="7" t="n">
        <f aca="false">C45/INDEX($N$3:$N$7,MATCH(B45,$M$3:$M$7,0))*100</f>
        <v>3.04162955538681</v>
      </c>
      <c r="I45" s="7" t="n">
        <f aca="false">D45/INDEX($O$3:$O$7,MATCH(B45,$M$3:$M$7,0))*100</f>
        <v>3.14685754541338</v>
      </c>
      <c r="J45" s="7" t="s">
        <v>110</v>
      </c>
      <c r="K45" s="7"/>
    </row>
    <row r="46" customFormat="false" ht="15" hidden="false" customHeight="true" outlineLevel="0" collapsed="false">
      <c r="A46" s="7" t="s">
        <v>53</v>
      </c>
      <c r="B46" s="7" t="n">
        <v>2019</v>
      </c>
      <c r="C46" s="7" t="n">
        <v>3440</v>
      </c>
      <c r="D46" s="7" t="n">
        <v>297</v>
      </c>
      <c r="E46" s="7" t="n">
        <v>1448</v>
      </c>
      <c r="F46" s="7" t="n">
        <f aca="false">D46/C46</f>
        <v>0.0863372093023256</v>
      </c>
      <c r="G46" s="7" t="n">
        <f aca="false">D46/C46*100</f>
        <v>8.63372093023256</v>
      </c>
      <c r="H46" s="7" t="n">
        <f aca="false">C46/INDEX($N$3:$N$7,MATCH(B46,$M$3:$M$7,0))*100</f>
        <v>0.7528027678632</v>
      </c>
      <c r="I46" s="7" t="n">
        <f aca="false">D46/INDEX($O$3:$O$7,MATCH(B46,$M$3:$M$7,0))*100</f>
        <v>0.186811251446686</v>
      </c>
      <c r="J46" s="7" t="s">
        <v>110</v>
      </c>
      <c r="K46" s="7"/>
    </row>
    <row r="47" customFormat="false" ht="15" hidden="false" customHeight="true" outlineLevel="0" collapsed="false">
      <c r="A47" s="7" t="s">
        <v>54</v>
      </c>
      <c r="B47" s="7" t="n">
        <v>2019</v>
      </c>
      <c r="C47" s="7" t="n">
        <v>17046</v>
      </c>
      <c r="D47" s="7" t="n">
        <v>7390</v>
      </c>
      <c r="E47" s="7" t="n">
        <v>16258</v>
      </c>
      <c r="F47" s="7" t="n">
        <f aca="false">D47/C47</f>
        <v>0.433532793617271</v>
      </c>
      <c r="G47" s="7" t="n">
        <f aca="false">D47/C47*100</f>
        <v>43.3532793617271</v>
      </c>
      <c r="H47" s="7" t="n">
        <f aca="false">C47/INDEX($N$3:$N$7,MATCH(B47,$M$3:$M$7,0))*100</f>
        <v>3.73031278517329</v>
      </c>
      <c r="I47" s="7" t="n">
        <f aca="false">D47/INDEX($O$3:$O$7,MATCH(B47,$M$3:$M$7,0))*100</f>
        <v>4.64826649222563</v>
      </c>
      <c r="J47" s="7" t="s">
        <v>110</v>
      </c>
      <c r="K47" s="7"/>
    </row>
    <row r="48" customFormat="false" ht="15" hidden="false" customHeight="true" outlineLevel="0" collapsed="false">
      <c r="A48" s="7" t="s">
        <v>55</v>
      </c>
      <c r="B48" s="7" t="n">
        <v>2019</v>
      </c>
      <c r="C48" s="7" t="n">
        <v>10944</v>
      </c>
      <c r="D48" s="7" t="n">
        <v>5057</v>
      </c>
      <c r="E48" s="7" t="n">
        <v>9362</v>
      </c>
      <c r="F48" s="7" t="n">
        <f aca="false">D48/C48</f>
        <v>0.462079678362573</v>
      </c>
      <c r="G48" s="7" t="n">
        <f aca="false">D48/C48*100</f>
        <v>46.2079678362573</v>
      </c>
      <c r="H48" s="7" t="n">
        <f aca="false">C48/INDEX($N$3:$N$7,MATCH(B48,$M$3:$M$7,0))*100</f>
        <v>2.39496322427176</v>
      </c>
      <c r="I48" s="7" t="n">
        <f aca="false">D48/INDEX($O$3:$O$7,MATCH(B48,$M$3:$M$7,0))*100</f>
        <v>3.18082322749459</v>
      </c>
      <c r="J48" s="7" t="s">
        <v>110</v>
      </c>
      <c r="K48" s="7"/>
    </row>
    <row r="49" customFormat="false" ht="15" hidden="false" customHeight="true" outlineLevel="0" collapsed="false">
      <c r="A49" s="7" t="s">
        <v>56</v>
      </c>
      <c r="B49" s="7" t="n">
        <v>2019</v>
      </c>
      <c r="C49" s="7" t="n">
        <v>2873</v>
      </c>
      <c r="D49" s="7" t="n">
        <v>1146</v>
      </c>
      <c r="E49" s="7" t="n">
        <v>4904</v>
      </c>
      <c r="F49" s="7" t="n">
        <f aca="false">D49/C49</f>
        <v>0.398886181691612</v>
      </c>
      <c r="G49" s="7" t="n">
        <f aca="false">D49/C49*100</f>
        <v>39.8886181691612</v>
      </c>
      <c r="H49" s="7" t="n">
        <f aca="false">C49/INDEX($N$3:$N$7,MATCH(B49,$M$3:$M$7,0))*100</f>
        <v>0.62872161397412</v>
      </c>
      <c r="I49" s="7" t="n">
        <f aca="false">D49/INDEX($O$3:$O$7,MATCH(B49,$M$3:$M$7,0))*100</f>
        <v>0.720827253056911</v>
      </c>
      <c r="J49" s="7" t="s">
        <v>110</v>
      </c>
      <c r="K49" s="7"/>
    </row>
    <row r="50" customFormat="false" ht="15" hidden="false" customHeight="true" outlineLevel="0" collapsed="false">
      <c r="A50" s="7" t="s">
        <v>57</v>
      </c>
      <c r="B50" s="7" t="n">
        <v>2019</v>
      </c>
      <c r="C50" s="7" t="n">
        <v>5217</v>
      </c>
      <c r="D50" s="7" t="n">
        <v>3801</v>
      </c>
      <c r="E50" s="7" t="n">
        <v>3818</v>
      </c>
      <c r="F50" s="7" t="n">
        <f aca="false">D50/C50</f>
        <v>0.728579643473261</v>
      </c>
      <c r="G50" s="7" t="n">
        <f aca="false">D50/C50*100</f>
        <v>72.8579643473261</v>
      </c>
      <c r="H50" s="7" t="n">
        <f aca="false">C50/INDEX($N$3:$N$7,MATCH(B50,$M$3:$M$7,0))*100</f>
        <v>1.14167791858788</v>
      </c>
      <c r="I50" s="7" t="n">
        <f aca="false">D50/INDEX($O$3:$O$7,MATCH(B50,$M$3:$M$7,0))*100</f>
        <v>2.39080662205002</v>
      </c>
      <c r="J50" s="7" t="s">
        <v>110</v>
      </c>
      <c r="K50" s="7"/>
    </row>
    <row r="51" customFormat="false" ht="15" hidden="false" customHeight="true" outlineLevel="0" collapsed="false">
      <c r="A51" s="7" t="s">
        <v>58</v>
      </c>
      <c r="B51" s="7" t="n">
        <v>2019</v>
      </c>
      <c r="C51" s="7" t="n">
        <v>40658</v>
      </c>
      <c r="D51" s="7" t="n">
        <v>10958</v>
      </c>
      <c r="E51" s="7" t="n">
        <v>50447</v>
      </c>
      <c r="F51" s="7" t="n">
        <f aca="false">D51/C51</f>
        <v>0.269516454326332</v>
      </c>
      <c r="G51" s="7" t="n">
        <f aca="false">D51/C51*100</f>
        <v>26.9516454326332</v>
      </c>
      <c r="H51" s="7" t="n">
        <f aca="false">C51/INDEX($N$3:$N$7,MATCH(B51,$M$3:$M$7,0))*100</f>
        <v>8.89751596970407</v>
      </c>
      <c r="I51" s="7" t="n">
        <f aca="false">D51/INDEX($O$3:$O$7,MATCH(B51,$M$3:$M$7,0))*100</f>
        <v>6.89251748603633</v>
      </c>
      <c r="J51" s="7" t="s">
        <v>110</v>
      </c>
      <c r="K51" s="7"/>
    </row>
    <row r="52" customFormat="false" ht="15" hidden="false" customHeight="true" outlineLevel="0" collapsed="false">
      <c r="A52" s="7" t="s">
        <v>59</v>
      </c>
      <c r="B52" s="7" t="n">
        <v>2019</v>
      </c>
      <c r="C52" s="7" t="n">
        <v>41111</v>
      </c>
      <c r="D52" s="7" t="n">
        <v>4440</v>
      </c>
      <c r="E52" s="7" t="n">
        <v>46055</v>
      </c>
      <c r="F52" s="7" t="n">
        <f aca="false">D52/C52</f>
        <v>0.108000291892681</v>
      </c>
      <c r="G52" s="7" t="n">
        <f aca="false">D52/C52*100</f>
        <v>10.8000291892681</v>
      </c>
      <c r="H52" s="7" t="n">
        <f aca="false">C52/INDEX($N$3:$N$7,MATCH(B52,$M$3:$M$7,0))*100</f>
        <v>8.99664959000698</v>
      </c>
      <c r="I52" s="7" t="n">
        <f aca="false">D52/INDEX($O$3:$O$7,MATCH(B52,$M$3:$M$7,0))*100</f>
        <v>2.79273386001107</v>
      </c>
      <c r="J52" s="7" t="s">
        <v>110</v>
      </c>
      <c r="K52" s="7"/>
    </row>
    <row r="53" customFormat="false" ht="15" hidden="false" customHeight="true" outlineLevel="0" collapsed="false">
      <c r="A53" s="7" t="s">
        <v>60</v>
      </c>
      <c r="B53" s="7" t="n">
        <v>2019</v>
      </c>
      <c r="C53" s="7" t="n">
        <v>50669</v>
      </c>
      <c r="D53" s="7" t="n">
        <v>11249</v>
      </c>
      <c r="E53" s="7" t="n">
        <v>52816</v>
      </c>
      <c r="F53" s="7" t="n">
        <f aca="false">D53/C53</f>
        <v>0.222009512719809</v>
      </c>
      <c r="G53" s="7" t="n">
        <f aca="false">D53/C53*100</f>
        <v>22.2009512719809</v>
      </c>
      <c r="H53" s="7" t="n">
        <f aca="false">C53/INDEX($N$3:$N$7,MATCH(B53,$M$3:$M$7,0))*100</f>
        <v>11.0883033269943</v>
      </c>
      <c r="I53" s="7" t="n">
        <f aca="false">D53/INDEX($O$3:$O$7,MATCH(B53,$M$3:$M$7,0))*100</f>
        <v>7.07555477280733</v>
      </c>
      <c r="J53" s="7" t="s">
        <v>110</v>
      </c>
      <c r="K53" s="7"/>
    </row>
    <row r="54" customFormat="false" ht="15" hidden="false" customHeight="true" outlineLevel="0" collapsed="false">
      <c r="A54" s="7" t="s">
        <v>61</v>
      </c>
      <c r="B54" s="7" t="n">
        <v>2019</v>
      </c>
      <c r="C54" s="7" t="n">
        <v>32925</v>
      </c>
      <c r="D54" s="7" t="n">
        <v>12788</v>
      </c>
      <c r="E54" s="7" t="n">
        <v>28628</v>
      </c>
      <c r="F54" s="7" t="n">
        <f aca="false">D54/C54</f>
        <v>0.388397873955961</v>
      </c>
      <c r="G54" s="7" t="n">
        <f aca="false">D54/C54*100</f>
        <v>38.8397873955961</v>
      </c>
      <c r="H54" s="7" t="n">
        <f aca="false">C54/INDEX($N$3:$N$7,MATCH(B54,$M$3:$M$7,0))*100</f>
        <v>7.20524160810926</v>
      </c>
      <c r="I54" s="7" t="n">
        <f aca="false">D54/INDEX($O$3:$O$7,MATCH(B54,$M$3:$M$7,0))*100</f>
        <v>8.04357671212198</v>
      </c>
      <c r="J54" s="7" t="s">
        <v>110</v>
      </c>
      <c r="K54" s="7"/>
    </row>
    <row r="55" customFormat="false" ht="15" hidden="false" customHeight="true" outlineLevel="0" collapsed="false">
      <c r="A55" s="7" t="s">
        <v>62</v>
      </c>
      <c r="B55" s="7" t="n">
        <v>2019</v>
      </c>
      <c r="C55" s="7" t="n">
        <v>672</v>
      </c>
      <c r="D55" s="7" t="n">
        <v>156</v>
      </c>
      <c r="E55" s="7" t="n">
        <v>1055</v>
      </c>
      <c r="F55" s="7" t="n">
        <f aca="false">D55/C55</f>
        <v>0.232142857142857</v>
      </c>
      <c r="G55" s="7" t="n">
        <f aca="false">D55/C55*100</f>
        <v>23.2142857142857</v>
      </c>
      <c r="H55" s="7" t="n">
        <f aca="false">C55/INDEX($N$3:$N$7,MATCH(B55,$M$3:$M$7,0))*100</f>
        <v>0.14705914535002</v>
      </c>
      <c r="I55" s="7" t="n">
        <f aca="false">D55/INDEX($O$3:$O$7,MATCH(B55,$M$3:$M$7,0))*100</f>
        <v>0.0981230815679565</v>
      </c>
      <c r="J55" s="7" t="s">
        <v>110</v>
      </c>
      <c r="K55" s="7"/>
    </row>
    <row r="56" customFormat="false" ht="15" hidden="false" customHeight="true" outlineLevel="0" collapsed="false">
      <c r="A56" s="7" t="s">
        <v>63</v>
      </c>
      <c r="B56" s="7" t="n">
        <v>2019</v>
      </c>
      <c r="C56" s="7" t="n">
        <v>482</v>
      </c>
      <c r="D56" s="7" t="n">
        <v>179</v>
      </c>
      <c r="E56" s="7" t="n">
        <v>222</v>
      </c>
      <c r="F56" s="7" t="n">
        <f aca="false">D56/C56</f>
        <v>0.371369294605809</v>
      </c>
      <c r="G56" s="7" t="n">
        <f aca="false">D56/C56*100</f>
        <v>37.1369294605809</v>
      </c>
      <c r="H56" s="7" t="n">
        <f aca="false">C56/INDEX($N$3:$N$7,MATCH(B56,$M$3:$M$7,0))*100</f>
        <v>0.105479922706413</v>
      </c>
      <c r="I56" s="7" t="n">
        <f aca="false">D56/INDEX($O$3:$O$7,MATCH(B56,$M$3:$M$7,0))*100</f>
        <v>0.112589946158104</v>
      </c>
      <c r="J56" s="7" t="s">
        <v>110</v>
      </c>
      <c r="K56" s="7"/>
    </row>
    <row r="57" customFormat="false" ht="15" hidden="false" customHeight="true" outlineLevel="0" collapsed="false">
      <c r="A57" s="7" t="s">
        <v>64</v>
      </c>
      <c r="B57" s="7" t="n">
        <v>2019</v>
      </c>
      <c r="C57" s="7" t="n">
        <v>62</v>
      </c>
      <c r="D57" s="7" t="n">
        <v>48</v>
      </c>
      <c r="E57" s="7" t="n">
        <v>56</v>
      </c>
      <c r="F57" s="7" t="n">
        <f aca="false">D57/C57</f>
        <v>0.774193548387097</v>
      </c>
      <c r="G57" s="7" t="n">
        <f aca="false">D57/C57*100</f>
        <v>77.4193548387097</v>
      </c>
      <c r="H57" s="7" t="n">
        <f aca="false">C57/INDEX($N$3:$N$7,MATCH(B57,$M$3:$M$7,0))*100</f>
        <v>0.0135679568626507</v>
      </c>
      <c r="I57" s="7" t="n">
        <f aca="false">D57/INDEX($O$3:$O$7,MATCH(B57,$M$3:$M$7,0))*100</f>
        <v>0.0301917174055251</v>
      </c>
      <c r="J57" s="7" t="s">
        <v>110</v>
      </c>
      <c r="K57" s="7"/>
    </row>
    <row r="58" customFormat="false" ht="15" hidden="false" customHeight="true" outlineLevel="0" collapsed="false">
      <c r="A58" s="7" t="s">
        <v>65</v>
      </c>
      <c r="B58" s="7" t="n">
        <v>2019</v>
      </c>
      <c r="C58" s="7" t="n">
        <v>358</v>
      </c>
      <c r="D58" s="7" t="n">
        <v>26</v>
      </c>
      <c r="E58" s="7" t="n">
        <v>246</v>
      </c>
      <c r="F58" s="7" t="n">
        <f aca="false">D58/C58</f>
        <v>0.0726256983240224</v>
      </c>
      <c r="G58" s="7" t="n">
        <f aca="false">D58/C58*100</f>
        <v>7.26256983240224</v>
      </c>
      <c r="H58" s="7" t="n">
        <f aca="false">C58/INDEX($N$3:$N$7,MATCH(B58,$M$3:$M$7,0))*100</f>
        <v>0.0783440089811121</v>
      </c>
      <c r="I58" s="7" t="n">
        <f aca="false">D58/INDEX($O$3:$O$7,MATCH(B58,$M$3:$M$7,0))*100</f>
        <v>0.0163538469279928</v>
      </c>
      <c r="J58" s="7" t="s">
        <v>110</v>
      </c>
      <c r="K58" s="7"/>
    </row>
    <row r="59" customFormat="false" ht="15" hidden="false" customHeight="true" outlineLevel="0" collapsed="false">
      <c r="A59" s="7" t="s">
        <v>66</v>
      </c>
      <c r="B59" s="7" t="n">
        <v>2019</v>
      </c>
      <c r="C59" s="7" t="n">
        <v>11064</v>
      </c>
      <c r="D59" s="7" t="n">
        <v>5333</v>
      </c>
      <c r="E59" s="7" t="n">
        <v>11177</v>
      </c>
      <c r="F59" s="7" t="n">
        <f aca="false">D59/C59</f>
        <v>0.482013738250181</v>
      </c>
      <c r="G59" s="7" t="n">
        <f aca="false">D59/C59*100</f>
        <v>48.2013738250181</v>
      </c>
      <c r="H59" s="7" t="n">
        <f aca="false">C59/INDEX($N$3:$N$7,MATCH(B59,$M$3:$M$7,0))*100</f>
        <v>2.42122378594141</v>
      </c>
      <c r="I59" s="7" t="n">
        <f aca="false">D59/INDEX($O$3:$O$7,MATCH(B59,$M$3:$M$7,0))*100</f>
        <v>3.35442560257636</v>
      </c>
      <c r="J59" s="7" t="s">
        <v>110</v>
      </c>
      <c r="K59" s="7"/>
    </row>
    <row r="60" customFormat="false" ht="15" hidden="false" customHeight="true" outlineLevel="0" collapsed="false">
      <c r="A60" s="7" t="s">
        <v>67</v>
      </c>
      <c r="B60" s="7" t="n">
        <v>2019</v>
      </c>
      <c r="C60" s="7" t="n">
        <v>6348</v>
      </c>
      <c r="D60" s="7" t="n">
        <v>4525</v>
      </c>
      <c r="E60" s="7" t="n">
        <v>3812</v>
      </c>
      <c r="F60" s="7" t="n">
        <f aca="false">D60/C60</f>
        <v>0.712822936357908</v>
      </c>
      <c r="G60" s="7" t="n">
        <f aca="false">D60/C60*100</f>
        <v>71.2822936357908</v>
      </c>
      <c r="H60" s="7" t="n">
        <f aca="false">C60/INDEX($N$3:$N$7,MATCH(B60,$M$3:$M$7,0))*100</f>
        <v>1.3891837123243</v>
      </c>
      <c r="I60" s="7" t="n">
        <f aca="false">D60/INDEX($O$3:$O$7,MATCH(B60,$M$3:$M$7,0))*100</f>
        <v>2.84619835958335</v>
      </c>
      <c r="J60" s="7" t="s">
        <v>110</v>
      </c>
      <c r="K60" s="7"/>
    </row>
    <row r="61" customFormat="false" ht="15" hidden="false" customHeight="true" outlineLevel="0" collapsed="false">
      <c r="A61" s="7" t="s">
        <v>68</v>
      </c>
      <c r="B61" s="7" t="n">
        <v>2019</v>
      </c>
      <c r="C61" s="7" t="n">
        <v>23480</v>
      </c>
      <c r="D61" s="7" t="n">
        <v>10563</v>
      </c>
      <c r="E61" s="7" t="n">
        <v>22979</v>
      </c>
      <c r="F61" s="7" t="n">
        <f aca="false">D61/C61</f>
        <v>0.449872231686542</v>
      </c>
      <c r="G61" s="7" t="n">
        <f aca="false">D61/C61*100</f>
        <v>44.9872231686542</v>
      </c>
      <c r="H61" s="7" t="n">
        <f aca="false">C61/INDEX($N$3:$N$7,MATCH(B61,$M$3:$M$7,0))*100</f>
        <v>5.13831656669417</v>
      </c>
      <c r="I61" s="7" t="n">
        <f aca="false">D61/INDEX($O$3:$O$7,MATCH(B61,$M$3:$M$7,0))*100</f>
        <v>6.64406481155336</v>
      </c>
      <c r="J61" s="7" t="s">
        <v>110</v>
      </c>
      <c r="K61" s="7"/>
    </row>
    <row r="62" customFormat="false" ht="15" hidden="false" customHeight="true" outlineLevel="0" collapsed="false">
      <c r="A62" s="7" t="s">
        <v>69</v>
      </c>
      <c r="B62" s="7" t="n">
        <v>2019</v>
      </c>
      <c r="C62" s="7" t="n">
        <v>162</v>
      </c>
      <c r="D62" s="7" t="n">
        <v>73</v>
      </c>
      <c r="E62" s="7" t="n">
        <v>318</v>
      </c>
      <c r="F62" s="7" t="n">
        <f aca="false">D62/C62</f>
        <v>0.450617283950617</v>
      </c>
      <c r="G62" s="7" t="n">
        <f aca="false">D62/C62*100</f>
        <v>45.0617283950617</v>
      </c>
      <c r="H62" s="7" t="n">
        <f aca="false">C62/INDEX($N$3:$N$7,MATCH(B62,$M$3:$M$7,0))*100</f>
        <v>0.0354517582540228</v>
      </c>
      <c r="I62" s="7" t="n">
        <f aca="false">D62/INDEX($O$3:$O$7,MATCH(B62,$M$3:$M$7,0))*100</f>
        <v>0.0459165702209027</v>
      </c>
      <c r="J62" s="7" t="s">
        <v>110</v>
      </c>
      <c r="K62" s="7"/>
    </row>
    <row r="63" customFormat="false" ht="15" hidden="false" customHeight="true" outlineLevel="0" collapsed="false">
      <c r="A63" s="7" t="s">
        <v>70</v>
      </c>
      <c r="B63" s="7" t="n">
        <v>2019</v>
      </c>
      <c r="C63" s="7" t="n">
        <v>62685</v>
      </c>
      <c r="D63" s="7" t="n">
        <v>18129</v>
      </c>
      <c r="E63" s="7" t="n">
        <v>63132</v>
      </c>
      <c r="F63" s="7" t="n">
        <f aca="false">D63/C63</f>
        <v>0.289207944484326</v>
      </c>
      <c r="G63" s="7" t="n">
        <f aca="false">D63/C63*100</f>
        <v>28.9207944484326</v>
      </c>
      <c r="H63" s="7" t="n">
        <f aca="false">C63/INDEX($N$3:$N$7,MATCH(B63,$M$3:$M$7,0))*100</f>
        <v>13.7178609021816</v>
      </c>
      <c r="I63" s="7" t="n">
        <f aca="false">D63/INDEX($O$3:$O$7,MATCH(B63,$M$3:$M$7,0))*100</f>
        <v>11.4030342675993</v>
      </c>
      <c r="J63" s="7" t="s">
        <v>110</v>
      </c>
      <c r="K63" s="7"/>
    </row>
    <row r="64" customFormat="false" ht="15" hidden="false" customHeight="true" outlineLevel="0" collapsed="false">
      <c r="A64" s="7" t="s">
        <v>71</v>
      </c>
      <c r="B64" s="7" t="n">
        <v>2019</v>
      </c>
      <c r="C64" s="7" t="n">
        <v>21570</v>
      </c>
      <c r="D64" s="7" t="n">
        <v>6964</v>
      </c>
      <c r="E64" s="7" t="n">
        <v>21999</v>
      </c>
      <c r="F64" s="7" t="n">
        <f aca="false">D64/C64</f>
        <v>0.32285581826611</v>
      </c>
      <c r="G64" s="7" t="n">
        <f aca="false">D64/C64*100</f>
        <v>32.285581826611</v>
      </c>
      <c r="H64" s="7" t="n">
        <f aca="false">C64/INDEX($N$3:$N$7,MATCH(B64,$M$3:$M$7,0))*100</f>
        <v>4.72033596011896</v>
      </c>
      <c r="I64" s="7" t="n">
        <f aca="false">D64/INDEX($O$3:$O$7,MATCH(B64,$M$3:$M$7,0))*100</f>
        <v>4.3803150002516</v>
      </c>
      <c r="J64" s="7" t="s">
        <v>110</v>
      </c>
      <c r="K64" s="7"/>
    </row>
    <row r="65" customFormat="false" ht="15" hidden="false" customHeight="true" outlineLevel="0" collapsed="false">
      <c r="A65" s="7" t="s">
        <v>72</v>
      </c>
      <c r="B65" s="7" t="n">
        <v>2019</v>
      </c>
      <c r="C65" s="7" t="n">
        <v>655</v>
      </c>
      <c r="D65" s="7" t="n">
        <v>239</v>
      </c>
      <c r="E65" s="7" t="n">
        <v>816</v>
      </c>
      <c r="F65" s="7" t="n">
        <f aca="false">D65/C65</f>
        <v>0.364885496183206</v>
      </c>
      <c r="G65" s="7" t="n">
        <f aca="false">D65/C65*100</f>
        <v>36.4885496183206</v>
      </c>
      <c r="H65" s="7" t="n">
        <f aca="false">C65/INDEX($N$3:$N$7,MATCH(B65,$M$3:$M$7,0))*100</f>
        <v>0.143338899113487</v>
      </c>
      <c r="I65" s="7" t="n">
        <f aca="false">D65/INDEX($O$3:$O$7,MATCH(B65,$M$3:$M$7,0))*100</f>
        <v>0.15032959291501</v>
      </c>
      <c r="J65" s="7" t="s">
        <v>110</v>
      </c>
      <c r="K65" s="7"/>
    </row>
    <row r="66" customFormat="false" ht="15" hidden="false" customHeight="true" outlineLevel="0" collapsed="false">
      <c r="A66" s="7" t="s">
        <v>73</v>
      </c>
      <c r="B66" s="7" t="n">
        <v>2019</v>
      </c>
      <c r="C66" s="7" t="n">
        <v>1352</v>
      </c>
      <c r="D66" s="7" t="n">
        <v>867</v>
      </c>
      <c r="E66" s="7" t="n">
        <v>1457</v>
      </c>
      <c r="F66" s="7" t="n">
        <f aca="false">D66/C66</f>
        <v>0.641272189349113</v>
      </c>
      <c r="G66" s="7" t="n">
        <f aca="false">D66/C66*100</f>
        <v>64.1272189349112</v>
      </c>
      <c r="H66" s="7" t="n">
        <f aca="false">C66/INDEX($N$3:$N$7,MATCH(B66,$M$3:$M$7,0))*100</f>
        <v>0.295868994811351</v>
      </c>
      <c r="I66" s="7" t="n">
        <f aca="false">D66/INDEX($O$3:$O$7,MATCH(B66,$M$3:$M$7,0))*100</f>
        <v>0.545337895637297</v>
      </c>
      <c r="J66" s="7" t="s">
        <v>110</v>
      </c>
      <c r="K66" s="7"/>
    </row>
    <row r="67" customFormat="false" ht="15" hidden="false" customHeight="true" outlineLevel="0" collapsed="false">
      <c r="A67" s="7" t="s">
        <v>74</v>
      </c>
      <c r="B67" s="7" t="n">
        <v>2019</v>
      </c>
      <c r="C67" s="7" t="n">
        <v>42572</v>
      </c>
      <c r="D67" s="7" t="n">
        <v>22655</v>
      </c>
      <c r="E67" s="7" t="n">
        <v>28932</v>
      </c>
      <c r="F67" s="7" t="n">
        <f aca="false">D67/C67</f>
        <v>0.532157286479376</v>
      </c>
      <c r="G67" s="7" t="n">
        <f aca="false">D67/C67*100</f>
        <v>53.2157286479376</v>
      </c>
      <c r="H67" s="7" t="n">
        <f aca="false">C67/INDEX($N$3:$N$7,MATCH(B67,$M$3:$M$7,0))*100</f>
        <v>9.31637192833493</v>
      </c>
      <c r="I67" s="7" t="n">
        <f aca="false">D67/INDEX($O$3:$O$7,MATCH(B67,$M$3:$M$7,0))*100</f>
        <v>14.2498616212952</v>
      </c>
      <c r="J67" s="7" t="s">
        <v>110</v>
      </c>
      <c r="K67" s="7"/>
    </row>
    <row r="68" customFormat="false" ht="15" hidden="false" customHeight="true" outlineLevel="0" collapsed="false">
      <c r="A68" s="7" t="s">
        <v>75</v>
      </c>
      <c r="B68" s="7" t="n">
        <v>2019</v>
      </c>
      <c r="C68" s="7" t="n">
        <v>12658</v>
      </c>
      <c r="D68" s="7" t="n">
        <v>5767</v>
      </c>
      <c r="E68" s="7" t="n">
        <v>11761</v>
      </c>
      <c r="F68" s="7" t="n">
        <f aca="false">D68/C68</f>
        <v>0.455601200821615</v>
      </c>
      <c r="G68" s="7" t="n">
        <f aca="false">D68/C68*100</f>
        <v>45.5601200821615</v>
      </c>
      <c r="H68" s="7" t="n">
        <f aca="false">C68/INDEX($N$3:$N$7,MATCH(B68,$M$3:$M$7,0))*100</f>
        <v>2.77005158011988</v>
      </c>
      <c r="I68" s="7" t="n">
        <f aca="false">D68/INDEX($O$3:$O$7,MATCH(B68,$M$3:$M$7,0))*100</f>
        <v>3.62740904745132</v>
      </c>
      <c r="J68" s="7" t="s">
        <v>110</v>
      </c>
      <c r="K68" s="7"/>
    </row>
    <row r="69" customFormat="false" ht="15" hidden="false" customHeight="true" outlineLevel="0" collapsed="false">
      <c r="A69" s="7" t="s">
        <v>76</v>
      </c>
      <c r="B69" s="7" t="n">
        <v>2019</v>
      </c>
      <c r="C69" s="7" t="n">
        <v>230</v>
      </c>
      <c r="D69" s="7" t="n">
        <v>20</v>
      </c>
      <c r="E69" s="7" t="n">
        <v>207</v>
      </c>
      <c r="F69" s="7" t="n">
        <f aca="false">D69/C69</f>
        <v>0.0869565217391304</v>
      </c>
      <c r="G69" s="7" t="n">
        <f aca="false">D69/C69*100</f>
        <v>8.69565217391304</v>
      </c>
      <c r="H69" s="7" t="n">
        <f aca="false">C69/INDEX($N$3:$N$7,MATCH(B69,$M$3:$M$7,0))*100</f>
        <v>0.0503327432001558</v>
      </c>
      <c r="I69" s="7" t="n">
        <f aca="false">D69/INDEX($O$3:$O$7,MATCH(B69,$M$3:$M$7,0))*100</f>
        <v>0.0125798822523021</v>
      </c>
      <c r="J69" s="7" t="s">
        <v>110</v>
      </c>
      <c r="K69" s="7"/>
    </row>
    <row r="70" customFormat="false" ht="15" hidden="false" customHeight="true" outlineLevel="0" collapsed="false">
      <c r="A70" s="7" t="s">
        <v>77</v>
      </c>
      <c r="B70" s="7" t="n">
        <v>2019</v>
      </c>
      <c r="C70" s="7" t="n">
        <v>305</v>
      </c>
      <c r="D70" s="7" t="n">
        <v>104</v>
      </c>
      <c r="E70" s="7" t="n">
        <v>275</v>
      </c>
      <c r="F70" s="7" t="n">
        <f aca="false">D70/C70</f>
        <v>0.340983606557377</v>
      </c>
      <c r="G70" s="7" t="n">
        <f aca="false">D70/C70*100</f>
        <v>34.0983606557377</v>
      </c>
      <c r="H70" s="7" t="n">
        <f aca="false">C70/INDEX($N$3:$N$7,MATCH(B70,$M$3:$M$7,0))*100</f>
        <v>0.0667455942436849</v>
      </c>
      <c r="I70" s="7" t="n">
        <f aca="false">D70/INDEX($O$3:$O$7,MATCH(B70,$M$3:$M$7,0))*100</f>
        <v>0.065415387711971</v>
      </c>
      <c r="J70" s="7" t="s">
        <v>110</v>
      </c>
      <c r="K70" s="7"/>
    </row>
    <row r="71" customFormat="false" ht="15" hidden="false" customHeight="true" outlineLevel="0" collapsed="false">
      <c r="A71" s="7" t="s">
        <v>78</v>
      </c>
      <c r="B71" s="7" t="n">
        <v>2019</v>
      </c>
      <c r="C71" s="7" t="n">
        <v>68</v>
      </c>
      <c r="D71" s="7" t="n">
        <v>49</v>
      </c>
      <c r="E71" s="7" t="n">
        <v>105</v>
      </c>
      <c r="F71" s="7" t="n">
        <f aca="false">D71/C71</f>
        <v>0.720588235294118</v>
      </c>
      <c r="G71" s="7" t="n">
        <f aca="false">D71/C71*100</f>
        <v>72.0588235294118</v>
      </c>
      <c r="H71" s="7" t="n">
        <f aca="false">C71/INDEX($N$3:$N$7,MATCH(B71,$M$3:$M$7,0))*100</f>
        <v>0.014880984946133</v>
      </c>
      <c r="I71" s="7" t="n">
        <f aca="false">D71/INDEX($O$3:$O$7,MATCH(B71,$M$3:$M$7,0))*100</f>
        <v>0.0308207115181402</v>
      </c>
      <c r="J71" s="7" t="s">
        <v>110</v>
      </c>
      <c r="K71" s="7" t="s">
        <v>111</v>
      </c>
    </row>
    <row r="72" customFormat="false" ht="15" hidden="false" customHeight="true" outlineLevel="0" collapsed="false">
      <c r="A72" s="7" t="s">
        <v>79</v>
      </c>
      <c r="B72" s="7" t="n">
        <v>2019</v>
      </c>
      <c r="C72" s="7" t="n">
        <v>69</v>
      </c>
      <c r="D72" s="7" t="n">
        <v>28</v>
      </c>
      <c r="E72" s="7" t="n">
        <v>74</v>
      </c>
      <c r="F72" s="7" t="n">
        <f aca="false">D72/C72</f>
        <v>0.405797101449275</v>
      </c>
      <c r="G72" s="7" t="n">
        <f aca="false">D72/C72*100</f>
        <v>40.5797101449275</v>
      </c>
      <c r="H72" s="7" t="n">
        <f aca="false">C72/INDEX($N$3:$N$7,MATCH(B72,$M$3:$M$7,0))*100</f>
        <v>0.0150998229600467</v>
      </c>
      <c r="I72" s="7" t="n">
        <f aca="false">D72/INDEX($O$3:$O$7,MATCH(B72,$M$3:$M$7,0))*100</f>
        <v>0.017611835153223</v>
      </c>
      <c r="J72" s="7" t="s">
        <v>110</v>
      </c>
      <c r="K72" s="7" t="s">
        <v>111</v>
      </c>
    </row>
    <row r="73" customFormat="false" ht="15" hidden="false" customHeight="true" outlineLevel="0" collapsed="false">
      <c r="A73" s="7" t="s">
        <v>80</v>
      </c>
      <c r="B73" s="7" t="n">
        <v>2019</v>
      </c>
      <c r="C73" s="7" t="n">
        <v>5610</v>
      </c>
      <c r="D73" s="7" t="n">
        <v>1463</v>
      </c>
      <c r="E73" s="7" t="n">
        <v>5152</v>
      </c>
      <c r="F73" s="7" t="n">
        <f aca="false">D73/C73</f>
        <v>0.26078431372549</v>
      </c>
      <c r="G73" s="7" t="n">
        <f aca="false">D73/C73*100</f>
        <v>26.078431372549</v>
      </c>
      <c r="H73" s="7" t="n">
        <f aca="false">C73/INDEX($N$3:$N$7,MATCH(B73,$M$3:$M$7,0))*100</f>
        <v>1.22768125805597</v>
      </c>
      <c r="I73" s="7" t="n">
        <f aca="false">D73/INDEX($O$3:$O$7,MATCH(B73,$M$3:$M$7,0))*100</f>
        <v>0.9202183867559</v>
      </c>
      <c r="J73" s="7" t="s">
        <v>110</v>
      </c>
      <c r="K73" s="7"/>
    </row>
    <row r="74" customFormat="false" ht="15" hidden="false" customHeight="true" outlineLevel="0" collapsed="false">
      <c r="A74" s="7" t="s">
        <v>81</v>
      </c>
      <c r="B74" s="7" t="n">
        <v>2019</v>
      </c>
      <c r="C74" s="7" t="n">
        <v>5796</v>
      </c>
      <c r="D74" s="7" t="n">
        <v>996</v>
      </c>
      <c r="E74" s="7" t="n">
        <v>7532</v>
      </c>
      <c r="F74" s="7" t="n">
        <f aca="false">D74/C74</f>
        <v>0.17184265010352</v>
      </c>
      <c r="G74" s="7" t="n">
        <f aca="false">D74/C74*100</f>
        <v>17.184265010352</v>
      </c>
      <c r="H74" s="7" t="n">
        <f aca="false">C74/INDEX($N$3:$N$7,MATCH(B74,$M$3:$M$7,0))*100</f>
        <v>1.26838512864393</v>
      </c>
      <c r="I74" s="7" t="n">
        <f aca="false">D74/INDEX($O$3:$O$7,MATCH(B74,$M$3:$M$7,0))*100</f>
        <v>0.626478136164645</v>
      </c>
      <c r="J74" s="7" t="s">
        <v>110</v>
      </c>
      <c r="K74" s="7" t="s">
        <v>112</v>
      </c>
    </row>
    <row r="75" customFormat="false" ht="15" hidden="false" customHeight="true" outlineLevel="0" collapsed="false">
      <c r="A75" s="9" t="s">
        <v>82</v>
      </c>
      <c r="B75" s="9" t="n">
        <v>2019</v>
      </c>
      <c r="C75" s="9" t="s">
        <v>113</v>
      </c>
      <c r="D75" s="9" t="s">
        <v>113</v>
      </c>
      <c r="E75" s="9"/>
      <c r="F75" s="9" t="s">
        <v>113</v>
      </c>
      <c r="G75" s="9" t="s">
        <v>113</v>
      </c>
      <c r="H75" s="9" t="s">
        <v>113</v>
      </c>
      <c r="I75" s="9" t="s">
        <v>113</v>
      </c>
      <c r="J75" s="9" t="s">
        <v>114</v>
      </c>
      <c r="K75" s="9"/>
    </row>
    <row r="76" customFormat="false" ht="15" hidden="false" customHeight="true" outlineLevel="0" collapsed="false">
      <c r="A76" s="7" t="s">
        <v>83</v>
      </c>
      <c r="B76" s="7" t="n">
        <v>2019</v>
      </c>
      <c r="C76" s="7" t="n">
        <v>1</v>
      </c>
      <c r="D76" s="7" t="n">
        <v>0</v>
      </c>
      <c r="E76" s="7" t="n">
        <v>1</v>
      </c>
      <c r="F76" s="7" t="n">
        <f aca="false">D76/C76</f>
        <v>0</v>
      </c>
      <c r="G76" s="7" t="n">
        <f aca="false">D76/C76*100</f>
        <v>0</v>
      </c>
      <c r="H76" s="7" t="n">
        <f aca="false">C76/INDEX($N$3:$N$7,MATCH(B76,$M$3:$M$7,0))*100</f>
        <v>0.000218838013913721</v>
      </c>
      <c r="I76" s="7" t="n">
        <f aca="false">D76/INDEX($O$3:$O$7,MATCH(B76,$M$3:$M$7,0))*100</f>
        <v>0</v>
      </c>
      <c r="J76" s="7" t="s">
        <v>110</v>
      </c>
      <c r="K76" s="7"/>
    </row>
    <row r="77" customFormat="false" ht="15" hidden="false" customHeight="true" outlineLevel="0" collapsed="false">
      <c r="A77" s="7" t="s">
        <v>84</v>
      </c>
      <c r="B77" s="7" t="n">
        <v>2019</v>
      </c>
      <c r="C77" s="7" t="n">
        <v>1392</v>
      </c>
      <c r="D77" s="7" t="n">
        <v>147</v>
      </c>
      <c r="E77" s="7" t="n">
        <v>1619</v>
      </c>
      <c r="F77" s="7" t="n">
        <f aca="false">D77/C77</f>
        <v>0.105603448275862</v>
      </c>
      <c r="G77" s="7" t="n">
        <f aca="false">D77/C77*100</f>
        <v>10.5603448275862</v>
      </c>
      <c r="H77" s="7" t="n">
        <f aca="false">C77/INDEX($N$3:$N$7,MATCH(B77,$M$3:$M$7,0))*100</f>
        <v>0.3046225153679</v>
      </c>
      <c r="I77" s="7" t="n">
        <f aca="false">D77/INDEX($O$3:$O$7,MATCH(B77,$M$3:$M$7,0))*100</f>
        <v>0.0924621345544206</v>
      </c>
      <c r="J77" s="7" t="s">
        <v>110</v>
      </c>
      <c r="K77" s="7"/>
    </row>
    <row r="78" customFormat="false" ht="15" hidden="false" customHeight="true" outlineLevel="0" collapsed="false">
      <c r="A78" s="7" t="s">
        <v>48</v>
      </c>
      <c r="B78" s="7" t="n">
        <v>2020</v>
      </c>
      <c r="C78" s="7" t="n">
        <v>19509</v>
      </c>
      <c r="D78" s="7" t="n">
        <v>7039</v>
      </c>
      <c r="E78" s="7" t="n">
        <v>19675</v>
      </c>
      <c r="F78" s="7" t="n">
        <f aca="false">D78/C78</f>
        <v>0.360807832282536</v>
      </c>
      <c r="G78" s="7" t="n">
        <f aca="false">D78/C78*100</f>
        <v>36.0807832282536</v>
      </c>
      <c r="H78" s="7" t="n">
        <f aca="false">C78/INDEX($N$3:$N$7,MATCH(B78,$M$3:$M$7,0))*100</f>
        <v>5.24180439087433</v>
      </c>
      <c r="I78" s="7" t="n">
        <f aca="false">D78/INDEX($O$3:$O$7,MATCH(B78,$M$3:$M$7,0))*100</f>
        <v>5.08660745900869</v>
      </c>
      <c r="J78" s="7" t="s">
        <v>110</v>
      </c>
      <c r="K78" s="7"/>
    </row>
    <row r="79" customFormat="false" ht="15" hidden="false" customHeight="true" outlineLevel="0" collapsed="false">
      <c r="A79" s="7" t="s">
        <v>49</v>
      </c>
      <c r="B79" s="7" t="n">
        <v>2020</v>
      </c>
      <c r="C79" s="7" t="n">
        <v>134</v>
      </c>
      <c r="D79" s="7" t="n">
        <v>73</v>
      </c>
      <c r="E79" s="7" t="n">
        <v>185</v>
      </c>
      <c r="F79" s="7" t="n">
        <f aca="false">D79/C79</f>
        <v>0.544776119402985</v>
      </c>
      <c r="G79" s="7" t="n">
        <f aca="false">D79/C79*100</f>
        <v>54.4776119402985</v>
      </c>
      <c r="H79" s="7" t="n">
        <f aca="false">C79/INDEX($N$3:$N$7,MATCH(B79,$M$3:$M$7,0))*100</f>
        <v>0.036003987307251</v>
      </c>
      <c r="I79" s="7" t="n">
        <f aca="false">D79/INDEX($O$3:$O$7,MATCH(B79,$M$3:$M$7,0))*100</f>
        <v>0.0527521444108019</v>
      </c>
      <c r="J79" s="7" t="s">
        <v>110</v>
      </c>
      <c r="K79" s="7"/>
    </row>
    <row r="80" customFormat="false" ht="15" hidden="false" customHeight="true" outlineLevel="0" collapsed="false">
      <c r="A80" s="7" t="s">
        <v>50</v>
      </c>
      <c r="B80" s="7" t="n">
        <v>2020</v>
      </c>
      <c r="C80" s="7" t="n">
        <v>6595</v>
      </c>
      <c r="D80" s="7" t="n">
        <v>2629</v>
      </c>
      <c r="E80" s="7" t="n">
        <v>5269</v>
      </c>
      <c r="F80" s="7" t="n">
        <f aca="false">D80/C80</f>
        <v>0.3986353297953</v>
      </c>
      <c r="G80" s="7" t="n">
        <f aca="false">D80/C80*100</f>
        <v>39.86353297953</v>
      </c>
      <c r="H80" s="7" t="n">
        <f aca="false">C80/INDEX($N$3:$N$7,MATCH(B80,$M$3:$M$7,0))*100</f>
        <v>1.77198728575612</v>
      </c>
      <c r="I80" s="7" t="n">
        <f aca="false">D80/INDEX($O$3:$O$7,MATCH(B80,$M$3:$M$7,0))*100</f>
        <v>1.89979983090409</v>
      </c>
      <c r="J80" s="7" t="s">
        <v>110</v>
      </c>
      <c r="K80" s="7"/>
    </row>
    <row r="81" customFormat="false" ht="15" hidden="false" customHeight="true" outlineLevel="0" collapsed="false">
      <c r="A81" s="7" t="s">
        <v>51</v>
      </c>
      <c r="B81" s="7" t="n">
        <v>2020</v>
      </c>
      <c r="C81" s="7" t="n">
        <v>8639</v>
      </c>
      <c r="D81" s="7" t="n">
        <v>6699</v>
      </c>
      <c r="E81" s="7" t="n">
        <v>7016</v>
      </c>
      <c r="F81" s="7" t="n">
        <f aca="false">D81/C81</f>
        <v>0.775436971871744</v>
      </c>
      <c r="G81" s="7" t="n">
        <f aca="false">D81/C81*100</f>
        <v>77.5436971871744</v>
      </c>
      <c r="H81" s="7" t="n">
        <f aca="false">C81/INDEX($N$3:$N$7,MATCH(B81,$M$3:$M$7,0))*100</f>
        <v>2.32118243542792</v>
      </c>
      <c r="I81" s="7" t="n">
        <f aca="false">D81/INDEX($O$3:$O$7,MATCH(B81,$M$3:$M$7,0))*100</f>
        <v>4.8409125398351</v>
      </c>
      <c r="J81" s="7" t="s">
        <v>110</v>
      </c>
      <c r="K81" s="7"/>
    </row>
    <row r="82" customFormat="false" ht="15" hidden="false" customHeight="true" outlineLevel="0" collapsed="false">
      <c r="A82" s="7" t="s">
        <v>52</v>
      </c>
      <c r="B82" s="7" t="n">
        <v>2020</v>
      </c>
      <c r="C82" s="7" t="n">
        <v>11656</v>
      </c>
      <c r="D82" s="7" t="n">
        <v>4606</v>
      </c>
      <c r="E82" s="7" t="n">
        <v>10505</v>
      </c>
      <c r="F82" s="7" t="n">
        <f aca="false">D82/C82</f>
        <v>0.395161290322581</v>
      </c>
      <c r="G82" s="7" t="n">
        <f aca="false">D82/C82*100</f>
        <v>39.5161290322581</v>
      </c>
      <c r="H82" s="7" t="n">
        <f aca="false">C82/INDEX($N$3:$N$7,MATCH(B82,$M$3:$M$7,0))*100</f>
        <v>3.13180952278596</v>
      </c>
      <c r="I82" s="7" t="n">
        <f aca="false">D82/INDEX($O$3:$O$7,MATCH(B82,$M$3:$M$7,0))*100</f>
        <v>3.32844352268704</v>
      </c>
      <c r="J82" s="7" t="s">
        <v>110</v>
      </c>
      <c r="K82" s="7"/>
    </row>
    <row r="83" customFormat="false" ht="15" hidden="false" customHeight="true" outlineLevel="0" collapsed="false">
      <c r="A83" s="7" t="s">
        <v>53</v>
      </c>
      <c r="B83" s="7" t="n">
        <v>2020</v>
      </c>
      <c r="C83" s="7" t="n">
        <v>2375</v>
      </c>
      <c r="D83" s="7" t="n">
        <v>223</v>
      </c>
      <c r="E83" s="7" t="n">
        <v>880</v>
      </c>
      <c r="F83" s="7" t="n">
        <f aca="false">D83/C83</f>
        <v>0.0938947368421053</v>
      </c>
      <c r="G83" s="7" t="n">
        <f aca="false">D83/C83*100</f>
        <v>9.38947368421053</v>
      </c>
      <c r="H83" s="7" t="n">
        <f aca="false">C83/INDEX($N$3:$N$7,MATCH(B83,$M$3:$M$7,0))*100</f>
        <v>0.638130372050158</v>
      </c>
      <c r="I83" s="7" t="n">
        <f aca="false">D83/INDEX($O$3:$O$7,MATCH(B83,$M$3:$M$7,0))*100</f>
        <v>0.161146961693272</v>
      </c>
      <c r="J83" s="7" t="s">
        <v>110</v>
      </c>
      <c r="K83" s="7"/>
    </row>
    <row r="84" customFormat="false" ht="15" hidden="false" customHeight="true" outlineLevel="0" collapsed="false">
      <c r="A84" s="7" t="s">
        <v>54</v>
      </c>
      <c r="B84" s="7" t="n">
        <v>2020</v>
      </c>
      <c r="C84" s="7" t="n">
        <v>13398</v>
      </c>
      <c r="D84" s="7" t="n">
        <v>6170</v>
      </c>
      <c r="E84" s="7" t="n">
        <v>12002</v>
      </c>
      <c r="F84" s="7" t="n">
        <f aca="false">D84/C84</f>
        <v>0.460516494999254</v>
      </c>
      <c r="G84" s="7" t="n">
        <f aca="false">D84/C84*100</f>
        <v>46.0516494999254</v>
      </c>
      <c r="H84" s="7" t="n">
        <f aca="false">C84/INDEX($N$3:$N$7,MATCH(B84,$M$3:$M$7,0))*100</f>
        <v>3.59986135778022</v>
      </c>
      <c r="I84" s="7" t="n">
        <f aca="false">D84/INDEX($O$3:$O$7,MATCH(B84,$M$3:$M$7,0))*100</f>
        <v>4.45864015088559</v>
      </c>
      <c r="J84" s="7" t="s">
        <v>110</v>
      </c>
      <c r="K84" s="7"/>
    </row>
    <row r="85" customFormat="false" ht="15" hidden="false" customHeight="true" outlineLevel="0" collapsed="false">
      <c r="A85" s="7" t="s">
        <v>55</v>
      </c>
      <c r="B85" s="7" t="n">
        <v>2020</v>
      </c>
      <c r="C85" s="7" t="n">
        <v>9431</v>
      </c>
      <c r="D85" s="7" t="n">
        <v>4507</v>
      </c>
      <c r="E85" s="7" t="n">
        <v>7659</v>
      </c>
      <c r="F85" s="7" t="n">
        <f aca="false">D85/C85</f>
        <v>0.477892058106245</v>
      </c>
      <c r="G85" s="7" t="n">
        <f aca="false">D85/C85*100</f>
        <v>47.7892058106245</v>
      </c>
      <c r="H85" s="7" t="n">
        <f aca="false">C85/INDEX($N$3:$N$7,MATCH(B85,$M$3:$M$7,0))*100</f>
        <v>2.53398212160212</v>
      </c>
      <c r="I85" s="7" t="n">
        <f aca="false">D85/INDEX($O$3:$O$7,MATCH(B85,$M$3:$M$7,0))*100</f>
        <v>3.25690294328061</v>
      </c>
      <c r="J85" s="7" t="s">
        <v>110</v>
      </c>
      <c r="K85" s="7"/>
    </row>
    <row r="86" customFormat="false" ht="15" hidden="false" customHeight="true" outlineLevel="0" collapsed="false">
      <c r="A86" s="7" t="s">
        <v>56</v>
      </c>
      <c r="B86" s="7" t="n">
        <v>2020</v>
      </c>
      <c r="C86" s="7" t="n">
        <v>2239</v>
      </c>
      <c r="D86" s="7" t="n">
        <v>893</v>
      </c>
      <c r="E86" s="7" t="n">
        <v>3223</v>
      </c>
      <c r="F86" s="7" t="n">
        <f aca="false">D86/C86</f>
        <v>0.398838767306833</v>
      </c>
      <c r="G86" s="7" t="n">
        <f aca="false">D86/C86*100</f>
        <v>39.8838767306833</v>
      </c>
      <c r="H86" s="7" t="n">
        <f aca="false">C86/INDEX($N$3:$N$7,MATCH(B86,$M$3:$M$7,0))*100</f>
        <v>0.601589011798023</v>
      </c>
      <c r="I86" s="7" t="n">
        <f aca="false">D86/INDEX($O$3:$O$7,MATCH(B86,$M$3:$M$7,0))*100</f>
        <v>0.645310478888303</v>
      </c>
      <c r="J86" s="7" t="s">
        <v>110</v>
      </c>
      <c r="K86" s="7"/>
    </row>
    <row r="87" customFormat="false" ht="15" hidden="false" customHeight="true" outlineLevel="0" collapsed="false">
      <c r="A87" s="7" t="s">
        <v>57</v>
      </c>
      <c r="B87" s="7" t="n">
        <v>2020</v>
      </c>
      <c r="C87" s="7" t="n">
        <v>4405</v>
      </c>
      <c r="D87" s="7" t="n">
        <v>3044</v>
      </c>
      <c r="E87" s="7" t="n">
        <v>3295</v>
      </c>
      <c r="F87" s="7" t="n">
        <f aca="false">D87/C87</f>
        <v>0.691032917139614</v>
      </c>
      <c r="G87" s="7" t="n">
        <f aca="false">D87/C87*100</f>
        <v>69.1032917139614</v>
      </c>
      <c r="H87" s="7" t="n">
        <f aca="false">C87/INDEX($N$3:$N$7,MATCH(B87,$M$3:$M$7,0))*100</f>
        <v>1.18356391110777</v>
      </c>
      <c r="I87" s="7" t="n">
        <f aca="false">D87/INDEX($O$3:$O$7,MATCH(B87,$M$3:$M$7,0))*100</f>
        <v>2.19969215871892</v>
      </c>
      <c r="J87" s="7" t="s">
        <v>110</v>
      </c>
      <c r="K87" s="7"/>
    </row>
    <row r="88" customFormat="false" ht="15" hidden="false" customHeight="true" outlineLevel="0" collapsed="false">
      <c r="A88" s="7" t="s">
        <v>58</v>
      </c>
      <c r="B88" s="7" t="n">
        <v>2020</v>
      </c>
      <c r="C88" s="7" t="n">
        <v>34178</v>
      </c>
      <c r="D88" s="7" t="n">
        <v>9760</v>
      </c>
      <c r="E88" s="7" t="n">
        <v>39492</v>
      </c>
      <c r="F88" s="7" t="n">
        <f aca="false">D88/C88</f>
        <v>0.285563812979109</v>
      </c>
      <c r="G88" s="7" t="n">
        <f aca="false">D88/C88*100</f>
        <v>28.5563812979109</v>
      </c>
      <c r="H88" s="7" t="n">
        <f aca="false">C88/INDEX($N$3:$N$7,MATCH(B88,$M$3:$M$7,0))*100</f>
        <v>9.18316625512855</v>
      </c>
      <c r="I88" s="7" t="n">
        <f aca="false">D88/INDEX($O$3:$O$7,MATCH(B88,$M$3:$M$7,0))*100</f>
        <v>7.05288944451269</v>
      </c>
      <c r="J88" s="7" t="s">
        <v>110</v>
      </c>
      <c r="K88" s="7"/>
    </row>
    <row r="89" customFormat="false" ht="15" hidden="false" customHeight="true" outlineLevel="0" collapsed="false">
      <c r="A89" s="7" t="s">
        <v>59</v>
      </c>
      <c r="B89" s="7" t="n">
        <v>2020</v>
      </c>
      <c r="C89" s="7" t="n">
        <v>27877</v>
      </c>
      <c r="D89" s="7" t="n">
        <v>2979</v>
      </c>
      <c r="E89" s="7" t="n">
        <v>30510</v>
      </c>
      <c r="F89" s="7" t="n">
        <f aca="false">D89/C89</f>
        <v>0.106862287907594</v>
      </c>
      <c r="G89" s="7" t="n">
        <f aca="false">D89/C89*100</f>
        <v>10.6862287907594</v>
      </c>
      <c r="H89" s="7" t="n">
        <f aca="false">C89/INDEX($N$3:$N$7,MATCH(B89,$M$3:$M$7,0))*100</f>
        <v>7.49017279227043</v>
      </c>
      <c r="I89" s="7" t="n">
        <f aca="false">D89/INDEX($O$3:$O$7,MATCH(B89,$M$3:$M$7,0))*100</f>
        <v>2.15272107122985</v>
      </c>
      <c r="J89" s="7" t="s">
        <v>110</v>
      </c>
      <c r="K89" s="7"/>
    </row>
    <row r="90" customFormat="false" ht="15" hidden="false" customHeight="true" outlineLevel="0" collapsed="false">
      <c r="A90" s="7" t="s">
        <v>60</v>
      </c>
      <c r="B90" s="7" t="n">
        <v>2020</v>
      </c>
      <c r="C90" s="7" t="n">
        <v>45266</v>
      </c>
      <c r="D90" s="7" t="n">
        <v>11141</v>
      </c>
      <c r="E90" s="7" t="n">
        <v>46456</v>
      </c>
      <c r="F90" s="7" t="n">
        <f aca="false">D90/C90</f>
        <v>0.246122917863297</v>
      </c>
      <c r="G90" s="7" t="n">
        <f aca="false">D90/C90*100</f>
        <v>24.6122917863297</v>
      </c>
      <c r="H90" s="7" t="n">
        <f aca="false">C90/INDEX($N$3:$N$7,MATCH(B90,$M$3:$M$7,0))*100</f>
        <v>12.1623618615674</v>
      </c>
      <c r="I90" s="7" t="n">
        <f aca="false">D90/INDEX($O$3:$O$7,MATCH(B90,$M$3:$M$7,0))*100</f>
        <v>8.05084439562663</v>
      </c>
      <c r="J90" s="7" t="s">
        <v>110</v>
      </c>
      <c r="K90" s="7"/>
    </row>
    <row r="91" customFormat="false" ht="15" hidden="false" customHeight="true" outlineLevel="0" collapsed="false">
      <c r="A91" s="7" t="s">
        <v>61</v>
      </c>
      <c r="B91" s="7" t="n">
        <v>2020</v>
      </c>
      <c r="C91" s="7" t="n">
        <v>24971</v>
      </c>
      <c r="D91" s="7" t="n">
        <v>11569</v>
      </c>
      <c r="E91" s="7" t="n">
        <v>19914</v>
      </c>
      <c r="F91" s="7" t="n">
        <f aca="false">D91/C91</f>
        <v>0.463297425013015</v>
      </c>
      <c r="G91" s="7" t="n">
        <f aca="false">D91/C91*100</f>
        <v>46.3297425013015</v>
      </c>
      <c r="H91" s="7" t="n">
        <f aca="false">C91/INDEX($N$3:$N$7,MATCH(B91,$M$3:$M$7,0))*100</f>
        <v>6.70936990335348</v>
      </c>
      <c r="I91" s="7" t="n">
        <f aca="false">D91/INDEX($O$3:$O$7,MATCH(B91,$M$3:$M$7,0))*100</f>
        <v>8.36013094093928</v>
      </c>
      <c r="J91" s="7" t="s">
        <v>110</v>
      </c>
      <c r="K91" s="7"/>
    </row>
    <row r="92" customFormat="false" ht="15" hidden="false" customHeight="true" outlineLevel="0" collapsed="false">
      <c r="A92" s="7" t="s">
        <v>62</v>
      </c>
      <c r="B92" s="7" t="n">
        <v>2020</v>
      </c>
      <c r="C92" s="7" t="n">
        <v>432</v>
      </c>
      <c r="D92" s="7" t="n">
        <v>127</v>
      </c>
      <c r="E92" s="7" t="n">
        <v>663</v>
      </c>
      <c r="F92" s="7" t="n">
        <f aca="false">D92/C92</f>
        <v>0.293981481481481</v>
      </c>
      <c r="G92" s="7" t="n">
        <f aca="false">D92/C92*100</f>
        <v>29.3981481481481</v>
      </c>
      <c r="H92" s="7" t="n">
        <f aca="false">C92/INDEX($N$3:$N$7,MATCH(B92,$M$3:$M$7,0))*100</f>
        <v>0.116072556095018</v>
      </c>
      <c r="I92" s="7" t="n">
        <f aca="false">D92/INDEX($O$3:$O$7,MATCH(B92,$M$3:$M$7,0))*100</f>
        <v>0.091774278632491</v>
      </c>
      <c r="J92" s="7" t="s">
        <v>110</v>
      </c>
      <c r="K92" s="7"/>
    </row>
    <row r="93" customFormat="false" ht="15" hidden="false" customHeight="true" outlineLevel="0" collapsed="false">
      <c r="A93" s="7" t="s">
        <v>63</v>
      </c>
      <c r="B93" s="7" t="n">
        <v>2020</v>
      </c>
      <c r="C93" s="7" t="n">
        <v>214</v>
      </c>
      <c r="D93" s="7" t="n">
        <v>144</v>
      </c>
      <c r="E93" s="7" t="n">
        <v>220</v>
      </c>
      <c r="F93" s="7" t="n">
        <f aca="false">D93/C93</f>
        <v>0.672897196261682</v>
      </c>
      <c r="G93" s="7" t="n">
        <f aca="false">D93/C93*100</f>
        <v>67.2897196261682</v>
      </c>
      <c r="H93" s="7" t="n">
        <f aca="false">C93/INDEX($N$3:$N$7,MATCH(B93,$M$3:$M$7,0))*100</f>
        <v>0.0574989051026248</v>
      </c>
      <c r="I93" s="7" t="n">
        <f aca="false">D93/INDEX($O$3:$O$7,MATCH(B93,$M$3:$M$7,0))*100</f>
        <v>0.104059024591171</v>
      </c>
      <c r="J93" s="7" t="s">
        <v>110</v>
      </c>
      <c r="K93" s="7"/>
    </row>
    <row r="94" customFormat="false" ht="15" hidden="false" customHeight="true" outlineLevel="0" collapsed="false">
      <c r="A94" s="7" t="s">
        <v>64</v>
      </c>
      <c r="B94" s="7" t="n">
        <v>2020</v>
      </c>
      <c r="C94" s="7" t="n">
        <v>53</v>
      </c>
      <c r="D94" s="7" t="n">
        <v>42</v>
      </c>
      <c r="E94" s="7" t="n">
        <v>68</v>
      </c>
      <c r="F94" s="7" t="n">
        <f aca="false">D94/C94</f>
        <v>0.792452830188679</v>
      </c>
      <c r="G94" s="7" t="n">
        <f aca="false">D94/C94*100</f>
        <v>79.2452830188679</v>
      </c>
      <c r="H94" s="7" t="n">
        <f aca="false">C94/INDEX($N$3:$N$7,MATCH(B94,$M$3:$M$7,0))*100</f>
        <v>0.0142403830394351</v>
      </c>
      <c r="I94" s="7" t="n">
        <f aca="false">D94/INDEX($O$3:$O$7,MATCH(B94,$M$3:$M$7,0))*100</f>
        <v>0.0303505488390915</v>
      </c>
      <c r="J94" s="7" t="s">
        <v>110</v>
      </c>
      <c r="K94" s="7"/>
    </row>
    <row r="95" customFormat="false" ht="15" hidden="false" customHeight="true" outlineLevel="0" collapsed="false">
      <c r="A95" s="7" t="s">
        <v>65</v>
      </c>
      <c r="B95" s="7" t="n">
        <v>2020</v>
      </c>
      <c r="C95" s="7" t="n">
        <v>500</v>
      </c>
      <c r="D95" s="7" t="n">
        <v>53</v>
      </c>
      <c r="E95" s="7" t="n">
        <v>286</v>
      </c>
      <c r="F95" s="7" t="n">
        <f aca="false">D95/C95</f>
        <v>0.106</v>
      </c>
      <c r="G95" s="7" t="n">
        <f aca="false">D95/C95*100</f>
        <v>10.6</v>
      </c>
      <c r="H95" s="7" t="n">
        <f aca="false">C95/INDEX($N$3:$N$7,MATCH(B95,$M$3:$M$7,0))*100</f>
        <v>0.134343236221086</v>
      </c>
      <c r="I95" s="7" t="n">
        <f aca="false">D95/INDEX($O$3:$O$7,MATCH(B95,$M$3:$M$7,0))*100</f>
        <v>0.0382995021064726</v>
      </c>
      <c r="J95" s="7" t="s">
        <v>110</v>
      </c>
      <c r="K95" s="7"/>
    </row>
    <row r="96" customFormat="false" ht="15" hidden="false" customHeight="true" outlineLevel="0" collapsed="false">
      <c r="A96" s="7" t="s">
        <v>66</v>
      </c>
      <c r="B96" s="7" t="n">
        <v>2020</v>
      </c>
      <c r="C96" s="7" t="n">
        <v>9817</v>
      </c>
      <c r="D96" s="7" t="n">
        <v>4738</v>
      </c>
      <c r="E96" s="7" t="n">
        <v>8822</v>
      </c>
      <c r="F96" s="7" t="n">
        <f aca="false">D96/C96</f>
        <v>0.482632168686972</v>
      </c>
      <c r="G96" s="7" t="n">
        <f aca="false">D96/C96*100</f>
        <v>48.2632168686972</v>
      </c>
      <c r="H96" s="7" t="n">
        <f aca="false">C96/INDEX($N$3:$N$7,MATCH(B96,$M$3:$M$7,0))*100</f>
        <v>2.6376950999648</v>
      </c>
      <c r="I96" s="7" t="n">
        <f aca="false">D96/INDEX($O$3:$O$7,MATCH(B96,$M$3:$M$7,0))*100</f>
        <v>3.42383096189561</v>
      </c>
      <c r="J96" s="7" t="s">
        <v>110</v>
      </c>
      <c r="K96" s="7"/>
    </row>
    <row r="97" customFormat="false" ht="15" hidden="false" customHeight="true" outlineLevel="0" collapsed="false">
      <c r="A97" s="7" t="s">
        <v>67</v>
      </c>
      <c r="B97" s="7" t="n">
        <v>2020</v>
      </c>
      <c r="C97" s="7" t="n">
        <v>5203</v>
      </c>
      <c r="D97" s="7" t="n">
        <v>3898</v>
      </c>
      <c r="E97" s="7" t="n">
        <v>2904</v>
      </c>
      <c r="F97" s="7" t="n">
        <f aca="false">D97/C97</f>
        <v>0.749183163559485</v>
      </c>
      <c r="G97" s="7" t="n">
        <f aca="false">D97/C97*100</f>
        <v>74.9183163559485</v>
      </c>
      <c r="H97" s="7" t="n">
        <f aca="false">C97/INDEX($N$3:$N$7,MATCH(B97,$M$3:$M$7,0))*100</f>
        <v>1.39797571611662</v>
      </c>
      <c r="I97" s="7" t="n">
        <f aca="false">D97/INDEX($O$3:$O$7,MATCH(B97,$M$3:$M$7,0))*100</f>
        <v>2.81681998511378</v>
      </c>
      <c r="J97" s="7" t="s">
        <v>110</v>
      </c>
      <c r="K97" s="7"/>
    </row>
    <row r="98" customFormat="false" ht="15" hidden="false" customHeight="true" outlineLevel="0" collapsed="false">
      <c r="A98" s="7" t="s">
        <v>68</v>
      </c>
      <c r="B98" s="7" t="n">
        <v>2020</v>
      </c>
      <c r="C98" s="7" t="n">
        <v>19114</v>
      </c>
      <c r="D98" s="7" t="n">
        <v>9250</v>
      </c>
      <c r="E98" s="7" t="n">
        <v>16769</v>
      </c>
      <c r="F98" s="7" t="n">
        <f aca="false">D98/C98</f>
        <v>0.483938474416658</v>
      </c>
      <c r="G98" s="7" t="n">
        <f aca="false">D98/C98*100</f>
        <v>48.3938474416658</v>
      </c>
      <c r="H98" s="7" t="n">
        <f aca="false">C98/INDEX($N$3:$N$7,MATCH(B98,$M$3:$M$7,0))*100</f>
        <v>5.13567323425967</v>
      </c>
      <c r="I98" s="7" t="n">
        <f aca="false">D98/INDEX($O$3:$O$7,MATCH(B98,$M$3:$M$7,0))*100</f>
        <v>6.6843470657523</v>
      </c>
      <c r="J98" s="7" t="s">
        <v>110</v>
      </c>
      <c r="K98" s="7"/>
    </row>
    <row r="99" customFormat="false" ht="15" hidden="false" customHeight="true" outlineLevel="0" collapsed="false">
      <c r="A99" s="7" t="s">
        <v>69</v>
      </c>
      <c r="B99" s="7" t="n">
        <v>2020</v>
      </c>
      <c r="C99" s="7" t="n">
        <v>138</v>
      </c>
      <c r="D99" s="7" t="n">
        <v>47</v>
      </c>
      <c r="E99" s="7" t="n">
        <v>218</v>
      </c>
      <c r="F99" s="7" t="n">
        <f aca="false">D99/C99</f>
        <v>0.340579710144928</v>
      </c>
      <c r="G99" s="7" t="n">
        <f aca="false">D99/C99*100</f>
        <v>34.0579710144928</v>
      </c>
      <c r="H99" s="7" t="n">
        <f aca="false">C99/INDEX($N$3:$N$7,MATCH(B99,$M$3:$M$7,0))*100</f>
        <v>0.0370787331970197</v>
      </c>
      <c r="I99" s="7" t="n">
        <f aca="false">D99/INDEX($O$3:$O$7,MATCH(B99,$M$3:$M$7,0))*100</f>
        <v>0.0339637094151738</v>
      </c>
      <c r="J99" s="7" t="s">
        <v>110</v>
      </c>
      <c r="K99" s="7"/>
    </row>
    <row r="100" customFormat="false" ht="15" hidden="false" customHeight="true" outlineLevel="0" collapsed="false">
      <c r="A100" s="7" t="s">
        <v>70</v>
      </c>
      <c r="B100" s="7" t="n">
        <v>2020</v>
      </c>
      <c r="C100" s="7" t="n">
        <v>49844</v>
      </c>
      <c r="D100" s="7" t="n">
        <v>14527</v>
      </c>
      <c r="E100" s="7" t="n">
        <v>47618</v>
      </c>
      <c r="F100" s="7" t="n">
        <f aca="false">D100/C100</f>
        <v>0.291449321884279</v>
      </c>
      <c r="G100" s="7" t="n">
        <f aca="false">D100/C100*100</f>
        <v>29.1449321884279</v>
      </c>
      <c r="H100" s="7" t="n">
        <f aca="false">C100/INDEX($N$3:$N$7,MATCH(B100,$M$3:$M$7,0))*100</f>
        <v>13.3924085324076</v>
      </c>
      <c r="I100" s="7" t="n">
        <f aca="false">D100/INDEX($O$3:$O$7,MATCH(B100,$M$3:$M$7,0))*100</f>
        <v>10.4976767377496</v>
      </c>
      <c r="J100" s="7" t="s">
        <v>110</v>
      </c>
      <c r="K100" s="7"/>
    </row>
    <row r="101" customFormat="false" ht="15" hidden="false" customHeight="true" outlineLevel="0" collapsed="false">
      <c r="A101" s="7" t="s">
        <v>71</v>
      </c>
      <c r="B101" s="7" t="n">
        <v>2020</v>
      </c>
      <c r="C101" s="7" t="n">
        <v>19172</v>
      </c>
      <c r="D101" s="7" t="n">
        <v>6882</v>
      </c>
      <c r="E101" s="7" t="n">
        <v>18661</v>
      </c>
      <c r="F101" s="7" t="n">
        <f aca="false">D101/C101</f>
        <v>0.358960984769456</v>
      </c>
      <c r="G101" s="7" t="n">
        <f aca="false">D101/C101*100</f>
        <v>35.8960984769456</v>
      </c>
      <c r="H101" s="7" t="n">
        <f aca="false">C101/INDEX($N$3:$N$7,MATCH(B101,$M$3:$M$7,0))*100</f>
        <v>5.15125704966132</v>
      </c>
      <c r="I101" s="7" t="n">
        <f aca="false">D101/INDEX($O$3:$O$7,MATCH(B101,$M$3:$M$7,0))*100</f>
        <v>4.97315421691971</v>
      </c>
      <c r="J101" s="7" t="s">
        <v>110</v>
      </c>
      <c r="K101" s="7"/>
    </row>
    <row r="102" customFormat="false" ht="15" hidden="false" customHeight="true" outlineLevel="0" collapsed="false">
      <c r="A102" s="7" t="s">
        <v>72</v>
      </c>
      <c r="B102" s="7" t="n">
        <v>2020</v>
      </c>
      <c r="C102" s="7" t="n">
        <v>466</v>
      </c>
      <c r="D102" s="7" t="n">
        <v>192</v>
      </c>
      <c r="E102" s="7" t="n">
        <v>470</v>
      </c>
      <c r="F102" s="7" t="n">
        <f aca="false">D102/C102</f>
        <v>0.412017167381974</v>
      </c>
      <c r="G102" s="7" t="n">
        <f aca="false">D102/C102*100</f>
        <v>41.2017167381974</v>
      </c>
      <c r="H102" s="7" t="n">
        <f aca="false">C102/INDEX($N$3:$N$7,MATCH(B102,$M$3:$M$7,0))*100</f>
        <v>0.125207896158052</v>
      </c>
      <c r="I102" s="7" t="n">
        <f aca="false">D102/INDEX($O$3:$O$7,MATCH(B102,$M$3:$M$7,0))*100</f>
        <v>0.138745366121561</v>
      </c>
      <c r="J102" s="7" t="s">
        <v>110</v>
      </c>
      <c r="K102" s="7"/>
    </row>
    <row r="103" customFormat="false" ht="15" hidden="false" customHeight="true" outlineLevel="0" collapsed="false">
      <c r="A103" s="7" t="s">
        <v>73</v>
      </c>
      <c r="B103" s="7" t="n">
        <v>2020</v>
      </c>
      <c r="C103" s="7" t="n">
        <v>1041</v>
      </c>
      <c r="D103" s="7" t="n">
        <v>674</v>
      </c>
      <c r="E103" s="7" t="n">
        <v>854</v>
      </c>
      <c r="F103" s="7" t="n">
        <f aca="false">D103/C103</f>
        <v>0.64745437079731</v>
      </c>
      <c r="G103" s="7" t="n">
        <f aca="false">D103/C103*100</f>
        <v>64.745437079731</v>
      </c>
      <c r="H103" s="7" t="n">
        <f aca="false">C103/INDEX($N$3:$N$7,MATCH(B103,$M$3:$M$7,0))*100</f>
        <v>0.279702617812301</v>
      </c>
      <c r="I103" s="7" t="n">
        <f aca="false">D103/INDEX($O$3:$O$7,MATCH(B103,$M$3:$M$7,0))*100</f>
        <v>0.487054045655897</v>
      </c>
      <c r="J103" s="7" t="s">
        <v>110</v>
      </c>
      <c r="K103" s="7"/>
    </row>
    <row r="104" customFormat="false" ht="15" hidden="false" customHeight="true" outlineLevel="0" collapsed="false">
      <c r="A104" s="7" t="s">
        <v>74</v>
      </c>
      <c r="B104" s="7" t="n">
        <v>2020</v>
      </c>
      <c r="C104" s="7" t="n">
        <v>34243</v>
      </c>
      <c r="D104" s="7" t="n">
        <v>19149</v>
      </c>
      <c r="E104" s="7" t="n">
        <v>22410</v>
      </c>
      <c r="F104" s="7" t="n">
        <f aca="false">D104/C104</f>
        <v>0.559209181438542</v>
      </c>
      <c r="G104" s="7" t="n">
        <f aca="false">D104/C104*100</f>
        <v>55.9209181438542</v>
      </c>
      <c r="H104" s="7" t="n">
        <f aca="false">C104/INDEX($N$3:$N$7,MATCH(B104,$M$3:$M$7,0))*100</f>
        <v>9.2006308758373</v>
      </c>
      <c r="I104" s="7" t="n">
        <f aca="false">D104/INDEX($O$3:$O$7,MATCH(B104,$M$3:$M$7,0))*100</f>
        <v>13.8376823742801</v>
      </c>
      <c r="J104" s="7" t="s">
        <v>110</v>
      </c>
      <c r="K104" s="7"/>
    </row>
    <row r="105" customFormat="false" ht="15" hidden="false" customHeight="true" outlineLevel="0" collapsed="false">
      <c r="A105" s="7" t="s">
        <v>75</v>
      </c>
      <c r="B105" s="7" t="n">
        <v>2020</v>
      </c>
      <c r="C105" s="7" t="n">
        <v>10863</v>
      </c>
      <c r="D105" s="7" t="n">
        <v>5128</v>
      </c>
      <c r="E105" s="7" t="n">
        <v>9715</v>
      </c>
      <c r="F105" s="7" t="n">
        <f aca="false">D105/C105</f>
        <v>0.472061124919451</v>
      </c>
      <c r="G105" s="7" t="n">
        <f aca="false">D105/C105*100</f>
        <v>47.2061124919451</v>
      </c>
      <c r="H105" s="7" t="n">
        <f aca="false">C105/INDEX($N$3:$N$7,MATCH(B105,$M$3:$M$7,0))*100</f>
        <v>2.91874115013931</v>
      </c>
      <c r="I105" s="7" t="n">
        <f aca="false">D105/INDEX($O$3:$O$7,MATCH(B105,$M$3:$M$7,0))*100</f>
        <v>3.70565748683003</v>
      </c>
      <c r="J105" s="7" t="s">
        <v>110</v>
      </c>
      <c r="K105" s="7"/>
    </row>
    <row r="106" customFormat="false" ht="15" hidden="false" customHeight="true" outlineLevel="0" collapsed="false">
      <c r="A106" s="7" t="s">
        <v>76</v>
      </c>
      <c r="B106" s="7" t="n">
        <v>2020</v>
      </c>
      <c r="C106" s="7" t="n">
        <v>141</v>
      </c>
      <c r="D106" s="7" t="n">
        <v>14</v>
      </c>
      <c r="E106" s="7" t="n">
        <v>145</v>
      </c>
      <c r="F106" s="7" t="n">
        <f aca="false">D106/C106</f>
        <v>0.099290780141844</v>
      </c>
      <c r="G106" s="7" t="n">
        <f aca="false">D106/C106*100</f>
        <v>9.9290780141844</v>
      </c>
      <c r="H106" s="7" t="n">
        <f aca="false">C106/INDEX($N$3:$N$7,MATCH(B106,$M$3:$M$7,0))*100</f>
        <v>0.0378847926143463</v>
      </c>
      <c r="I106" s="7" t="n">
        <f aca="false">D106/INDEX($O$3:$O$7,MATCH(B106,$M$3:$M$7,0))*100</f>
        <v>0.0101168496130305</v>
      </c>
      <c r="J106" s="7" t="s">
        <v>110</v>
      </c>
      <c r="K106" s="7"/>
    </row>
    <row r="107" customFormat="false" ht="15" hidden="false" customHeight="true" outlineLevel="0" collapsed="false">
      <c r="A107" s="7" t="s">
        <v>77</v>
      </c>
      <c r="B107" s="7" t="n">
        <v>2020</v>
      </c>
      <c r="C107" s="7" t="n">
        <v>159</v>
      </c>
      <c r="D107" s="7" t="n">
        <v>53</v>
      </c>
      <c r="E107" s="7" t="n">
        <v>148</v>
      </c>
      <c r="F107" s="7" t="n">
        <f aca="false">D107/C107</f>
        <v>0.333333333333333</v>
      </c>
      <c r="G107" s="7" t="n">
        <f aca="false">D107/C107*100</f>
        <v>33.3333333333333</v>
      </c>
      <c r="H107" s="7" t="n">
        <f aca="false">C107/INDEX($N$3:$N$7,MATCH(B107,$M$3:$M$7,0))*100</f>
        <v>0.0427211491183053</v>
      </c>
      <c r="I107" s="7" t="n">
        <f aca="false">D107/INDEX($O$3:$O$7,MATCH(B107,$M$3:$M$7,0))*100</f>
        <v>0.0382995021064726</v>
      </c>
      <c r="J107" s="7" t="s">
        <v>110</v>
      </c>
      <c r="K107" s="7"/>
    </row>
    <row r="108" customFormat="false" ht="15" hidden="false" customHeight="true" outlineLevel="0" collapsed="false">
      <c r="A108" s="7" t="s">
        <v>93</v>
      </c>
      <c r="B108" s="7" t="n">
        <v>2020</v>
      </c>
      <c r="C108" s="7" t="n">
        <v>100</v>
      </c>
      <c r="D108" s="7" t="n">
        <v>64</v>
      </c>
      <c r="E108" s="7" t="n">
        <v>119</v>
      </c>
      <c r="F108" s="7" t="n">
        <f aca="false">D108/C108</f>
        <v>0.64</v>
      </c>
      <c r="G108" s="7" t="n">
        <f aca="false">D108/C108*100</f>
        <v>64</v>
      </c>
      <c r="H108" s="7" t="n">
        <f aca="false">C108/INDEX($N$3:$N$7,MATCH(B108,$M$3:$M$7,0))*100</f>
        <v>0.0268686472442172</v>
      </c>
      <c r="I108" s="7" t="n">
        <f aca="false">D108/INDEX($O$3:$O$7,MATCH(B108,$M$3:$M$7,0))*100</f>
        <v>0.0462484553738537</v>
      </c>
      <c r="J108" s="7" t="s">
        <v>110</v>
      </c>
      <c r="K108" s="7" t="s">
        <v>115</v>
      </c>
    </row>
    <row r="109" customFormat="false" ht="15" hidden="false" customHeight="true" outlineLevel="0" collapsed="false">
      <c r="A109" s="7" t="s">
        <v>80</v>
      </c>
      <c r="B109" s="7" t="n">
        <v>2020</v>
      </c>
      <c r="C109" s="7" t="n">
        <v>4178</v>
      </c>
      <c r="D109" s="7" t="n">
        <v>1196</v>
      </c>
      <c r="E109" s="7" t="n">
        <v>3662</v>
      </c>
      <c r="F109" s="7" t="n">
        <f aca="false">D109/C109</f>
        <v>0.286261369076113</v>
      </c>
      <c r="G109" s="7" t="n">
        <f aca="false">D109/C109*100</f>
        <v>28.6261369076113</v>
      </c>
      <c r="H109" s="7" t="n">
        <f aca="false">C109/INDEX($N$3:$N$7,MATCH(B109,$M$3:$M$7,0))*100</f>
        <v>1.12257208186339</v>
      </c>
      <c r="I109" s="7" t="n">
        <f aca="false">D109/INDEX($O$3:$O$7,MATCH(B109,$M$3:$M$7,0))*100</f>
        <v>0.864268009798892</v>
      </c>
      <c r="J109" s="7" t="s">
        <v>110</v>
      </c>
      <c r="K109" s="7"/>
    </row>
    <row r="110" customFormat="false" ht="15" hidden="false" customHeight="true" outlineLevel="0" collapsed="false">
      <c r="A110" s="7" t="s">
        <v>81</v>
      </c>
      <c r="B110" s="7" t="n">
        <v>2020</v>
      </c>
      <c r="C110" s="7" t="n">
        <v>4860</v>
      </c>
      <c r="D110" s="7" t="n">
        <v>728</v>
      </c>
      <c r="E110" s="7" t="n">
        <v>5894</v>
      </c>
      <c r="F110" s="7" t="n">
        <f aca="false">D110/C110</f>
        <v>0.149794238683128</v>
      </c>
      <c r="G110" s="7" t="n">
        <f aca="false">D110/C110*100</f>
        <v>14.9794238683128</v>
      </c>
      <c r="H110" s="7" t="n">
        <f aca="false">C110/INDEX($N$3:$N$7,MATCH(B110,$M$3:$M$7,0))*100</f>
        <v>1.30581625606896</v>
      </c>
      <c r="I110" s="7" t="n">
        <f aca="false">D110/INDEX($O$3:$O$7,MATCH(B110,$M$3:$M$7,0))*100</f>
        <v>0.526076179877586</v>
      </c>
      <c r="J110" s="7" t="s">
        <v>110</v>
      </c>
      <c r="K110" s="7"/>
    </row>
    <row r="111" customFormat="false" ht="15" hidden="false" customHeight="true" outlineLevel="0" collapsed="false">
      <c r="A111" s="9" t="s">
        <v>82</v>
      </c>
      <c r="B111" s="9" t="n">
        <v>2020</v>
      </c>
      <c r="C111" s="9" t="s">
        <v>113</v>
      </c>
      <c r="D111" s="9" t="s">
        <v>113</v>
      </c>
      <c r="E111" s="9"/>
      <c r="F111" s="9" t="s">
        <v>113</v>
      </c>
      <c r="G111" s="9" t="s">
        <v>113</v>
      </c>
      <c r="H111" s="9" t="s">
        <v>113</v>
      </c>
      <c r="I111" s="9" t="s">
        <v>113</v>
      </c>
      <c r="J111" s="9" t="s">
        <v>114</v>
      </c>
      <c r="K111" s="9" t="s">
        <v>116</v>
      </c>
    </row>
    <row r="112" customFormat="false" ht="15" hidden="false" customHeight="true" outlineLevel="0" collapsed="false">
      <c r="A112" s="7" t="s">
        <v>83</v>
      </c>
      <c r="B112" s="7" t="n">
        <v>2020</v>
      </c>
      <c r="C112" s="7" t="n">
        <v>1</v>
      </c>
      <c r="D112" s="7" t="n">
        <v>0</v>
      </c>
      <c r="E112" s="7" t="n">
        <v>1</v>
      </c>
      <c r="F112" s="7" t="n">
        <f aca="false">D112/C112</f>
        <v>0</v>
      </c>
      <c r="G112" s="7" t="n">
        <f aca="false">D112/C112*100</f>
        <v>0</v>
      </c>
      <c r="H112" s="7" t="n">
        <f aca="false">C112/INDEX($N$3:$N$7,MATCH(B112,$M$3:$M$7,0))*100</f>
        <v>0.000268686472442172</v>
      </c>
      <c r="I112" s="7" t="n">
        <f aca="false">D112/INDEX($O$3:$O$7,MATCH(B112,$M$3:$M$7,0))*100</f>
        <v>0</v>
      </c>
      <c r="J112" s="7" t="s">
        <v>110</v>
      </c>
      <c r="K112" s="7"/>
    </row>
    <row r="113" customFormat="false" ht="15" hidden="false" customHeight="true" outlineLevel="0" collapsed="false">
      <c r="A113" s="7" t="s">
        <v>84</v>
      </c>
      <c r="B113" s="7" t="n">
        <v>2020</v>
      </c>
      <c r="C113" s="7" t="n">
        <v>969</v>
      </c>
      <c r="D113" s="7" t="n">
        <v>145</v>
      </c>
      <c r="E113" s="7" t="n">
        <v>1019</v>
      </c>
      <c r="F113" s="7" t="n">
        <f aca="false">D113/C113</f>
        <v>0.149638802889577</v>
      </c>
      <c r="G113" s="7" t="n">
        <f aca="false">D113/C113*100</f>
        <v>14.9638802889577</v>
      </c>
      <c r="H113" s="7" t="n">
        <f aca="false">C113/INDEX($N$3:$N$7,MATCH(B113,$M$3:$M$7,0))*100</f>
        <v>0.260357191796465</v>
      </c>
      <c r="I113" s="7" t="n">
        <f aca="false">D113/INDEX($O$3:$O$7,MATCH(B113,$M$3:$M$7,0))*100</f>
        <v>0.104781656706387</v>
      </c>
      <c r="J113" s="7" t="s">
        <v>110</v>
      </c>
      <c r="K113" s="7"/>
    </row>
    <row r="114" customFormat="false" ht="15" hidden="false" customHeight="true" outlineLevel="0" collapsed="false">
      <c r="A114" s="7" t="s">
        <v>48</v>
      </c>
      <c r="B114" s="7" t="n">
        <v>2021</v>
      </c>
      <c r="C114" s="7" t="n">
        <v>21556</v>
      </c>
      <c r="D114" s="7" t="n">
        <v>8186</v>
      </c>
      <c r="E114" s="7" t="n">
        <v>21040</v>
      </c>
      <c r="F114" s="7" t="n">
        <f aca="false">D114/C114</f>
        <v>0.379755056596771</v>
      </c>
      <c r="G114" s="7" t="n">
        <f aca="false">D114/C114*100</f>
        <v>37.9755056596771</v>
      </c>
      <c r="H114" s="7" t="n">
        <f aca="false">C114/INDEX($N$3:$N$7,MATCH(B114,$M$3:$M$7,0))*100</f>
        <v>5.22655855995655</v>
      </c>
      <c r="I114" s="7" t="n">
        <f aca="false">D114/INDEX($O$3:$O$7,MATCH(B114,$M$3:$M$7,0))*100</f>
        <v>5.31655106123191</v>
      </c>
      <c r="J114" s="7" t="s">
        <v>110</v>
      </c>
      <c r="K114" s="7"/>
    </row>
    <row r="115" customFormat="false" ht="15" hidden="false" customHeight="true" outlineLevel="0" collapsed="false">
      <c r="A115" s="7" t="s">
        <v>49</v>
      </c>
      <c r="B115" s="7" t="n">
        <v>2021</v>
      </c>
      <c r="C115" s="7" t="n">
        <v>283</v>
      </c>
      <c r="D115" s="7" t="n">
        <v>157</v>
      </c>
      <c r="E115" s="7" t="n">
        <v>347</v>
      </c>
      <c r="F115" s="7" t="n">
        <f aca="false">D115/C115</f>
        <v>0.554770318021201</v>
      </c>
      <c r="G115" s="7" t="n">
        <f aca="false">D115/C115*100</f>
        <v>55.4770318021201</v>
      </c>
      <c r="H115" s="7" t="n">
        <f aca="false">C115/INDEX($N$3:$N$7,MATCH(B115,$M$3:$M$7,0))*100</f>
        <v>0.0686173720758816</v>
      </c>
      <c r="I115" s="7" t="n">
        <f aca="false">D115/INDEX($O$3:$O$7,MATCH(B115,$M$3:$M$7,0))*100</f>
        <v>0.101966591328293</v>
      </c>
      <c r="J115" s="7" t="s">
        <v>110</v>
      </c>
      <c r="K115" s="7"/>
    </row>
    <row r="116" customFormat="false" ht="15" hidden="false" customHeight="true" outlineLevel="0" collapsed="false">
      <c r="A116" s="7" t="s">
        <v>50</v>
      </c>
      <c r="B116" s="7" t="n">
        <v>2021</v>
      </c>
      <c r="C116" s="7" t="n">
        <v>7411</v>
      </c>
      <c r="D116" s="7" t="n">
        <v>3036</v>
      </c>
      <c r="E116" s="7" t="n">
        <v>5763</v>
      </c>
      <c r="F116" s="7" t="n">
        <f aca="false">D116/C116</f>
        <v>0.409661314262583</v>
      </c>
      <c r="G116" s="7" t="n">
        <f aca="false">D116/C116*100</f>
        <v>40.9661314262583</v>
      </c>
      <c r="H116" s="7" t="n">
        <f aca="false">C116/INDEX($N$3:$N$7,MATCH(B116,$M$3:$M$7,0))*100</f>
        <v>1.79690227722388</v>
      </c>
      <c r="I116" s="7" t="n">
        <f aca="false">D116/INDEX($O$3:$O$7,MATCH(B116,$M$3:$M$7,0))*100</f>
        <v>1.97178707817006</v>
      </c>
      <c r="J116" s="7" t="s">
        <v>110</v>
      </c>
      <c r="K116" s="7"/>
    </row>
    <row r="117" customFormat="false" ht="15" hidden="false" customHeight="true" outlineLevel="0" collapsed="false">
      <c r="A117" s="7" t="s">
        <v>51</v>
      </c>
      <c r="B117" s="7" t="n">
        <v>2021</v>
      </c>
      <c r="C117" s="7" t="n">
        <v>9553</v>
      </c>
      <c r="D117" s="7" t="n">
        <v>7660</v>
      </c>
      <c r="E117" s="7" t="n">
        <v>7946</v>
      </c>
      <c r="F117" s="7" t="n">
        <f aca="false">D117/C117</f>
        <v>0.80184235318748</v>
      </c>
      <c r="G117" s="7" t="n">
        <f aca="false">D117/C117*100</f>
        <v>80.184235318748</v>
      </c>
      <c r="H117" s="7" t="n">
        <f aca="false">C117/INDEX($N$3:$N$7,MATCH(B117,$M$3:$M$7,0))*100</f>
        <v>2.3162606199325</v>
      </c>
      <c r="I117" s="7" t="n">
        <f aca="false">D117/INDEX($O$3:$O$7,MATCH(B117,$M$3:$M$7,0))*100</f>
        <v>4.9749305068454</v>
      </c>
      <c r="J117" s="7" t="s">
        <v>110</v>
      </c>
      <c r="K117" s="7"/>
    </row>
    <row r="118" customFormat="false" ht="15" hidden="false" customHeight="true" outlineLevel="0" collapsed="false">
      <c r="A118" s="7" t="s">
        <v>52</v>
      </c>
      <c r="B118" s="7" t="n">
        <v>2021</v>
      </c>
      <c r="C118" s="7" t="n">
        <v>12375</v>
      </c>
      <c r="D118" s="7" t="n">
        <v>5371</v>
      </c>
      <c r="E118" s="7" t="n">
        <v>10683</v>
      </c>
      <c r="F118" s="7" t="n">
        <f aca="false">D118/C118</f>
        <v>0.434020202020202</v>
      </c>
      <c r="G118" s="7" t="n">
        <f aca="false">D118/C118*100</f>
        <v>43.4020202020202</v>
      </c>
      <c r="H118" s="7" t="n">
        <f aca="false">C118/INDEX($N$3:$N$7,MATCH(B118,$M$3:$M$7,0))*100</f>
        <v>3.00049462699306</v>
      </c>
      <c r="I118" s="7" t="n">
        <f aca="false">D118/INDEX($O$3:$O$7,MATCH(B118,$M$3:$M$7,0))*100</f>
        <v>3.48829657340296</v>
      </c>
      <c r="J118" s="7" t="s">
        <v>110</v>
      </c>
      <c r="K118" s="7"/>
    </row>
    <row r="119" customFormat="false" ht="15" hidden="false" customHeight="true" outlineLevel="0" collapsed="false">
      <c r="A119" s="7" t="s">
        <v>53</v>
      </c>
      <c r="B119" s="7" t="n">
        <v>2021</v>
      </c>
      <c r="C119" s="7" t="n">
        <v>2849</v>
      </c>
      <c r="D119" s="7" t="n">
        <v>226</v>
      </c>
      <c r="E119" s="7" t="n">
        <v>843</v>
      </c>
      <c r="F119" s="7" t="n">
        <f aca="false">D119/C119</f>
        <v>0.0793260793260793</v>
      </c>
      <c r="G119" s="7" t="n">
        <f aca="false">D119/C119*100</f>
        <v>7.93260793260793</v>
      </c>
      <c r="H119" s="7" t="n">
        <f aca="false">C119/INDEX($N$3:$N$7,MATCH(B119,$M$3:$M$7,0))*100</f>
        <v>0.690780540792179</v>
      </c>
      <c r="I119" s="7" t="n">
        <f aca="false">D119/INDEX($O$3:$O$7,MATCH(B119,$M$3:$M$7,0))*100</f>
        <v>0.146779934013977</v>
      </c>
      <c r="J119" s="7" t="s">
        <v>110</v>
      </c>
      <c r="K119" s="7"/>
    </row>
    <row r="120" customFormat="false" ht="15" hidden="false" customHeight="true" outlineLevel="0" collapsed="false">
      <c r="A120" s="7" t="s">
        <v>54</v>
      </c>
      <c r="B120" s="7" t="n">
        <v>2021</v>
      </c>
      <c r="C120" s="7" t="n">
        <v>15186</v>
      </c>
      <c r="D120" s="7" t="n">
        <v>7452</v>
      </c>
      <c r="E120" s="7" t="n">
        <v>13690</v>
      </c>
      <c r="F120" s="7" t="n">
        <f aca="false">D120/C120</f>
        <v>0.490715132358751</v>
      </c>
      <c r="G120" s="7" t="n">
        <f aca="false">D120/C120*100</f>
        <v>49.0715132358751</v>
      </c>
      <c r="H120" s="7" t="n">
        <f aca="false">C120/INDEX($N$3:$N$7,MATCH(B120,$M$3:$M$7,0))*100</f>
        <v>3.68206152771851</v>
      </c>
      <c r="I120" s="7" t="n">
        <f aca="false">D120/INDEX($O$3:$O$7,MATCH(B120,$M$3:$M$7,0))*100</f>
        <v>4.83984101005378</v>
      </c>
      <c r="J120" s="7" t="s">
        <v>110</v>
      </c>
      <c r="K120" s="7"/>
    </row>
    <row r="121" customFormat="false" ht="15" hidden="false" customHeight="true" outlineLevel="0" collapsed="false">
      <c r="A121" s="7" t="s">
        <v>55</v>
      </c>
      <c r="B121" s="7" t="n">
        <v>2021</v>
      </c>
      <c r="C121" s="7" t="n">
        <v>9933</v>
      </c>
      <c r="D121" s="7" t="n">
        <v>4706</v>
      </c>
      <c r="E121" s="7" t="n">
        <v>8121</v>
      </c>
      <c r="F121" s="7" t="n">
        <f aca="false">D121/C121</f>
        <v>0.473774287727776</v>
      </c>
      <c r="G121" s="7" t="n">
        <f aca="false">D121/C121*100</f>
        <v>47.3774287727776</v>
      </c>
      <c r="H121" s="7" t="n">
        <f aca="false">C121/INDEX($N$3:$N$7,MATCH(B121,$M$3:$M$7,0))*100</f>
        <v>2.40839702059976</v>
      </c>
      <c r="I121" s="7" t="n">
        <f aca="false">D121/INDEX($O$3:$O$7,MATCH(B121,$M$3:$M$7,0))*100</f>
        <v>3.0563998649105</v>
      </c>
      <c r="J121" s="7" t="s">
        <v>110</v>
      </c>
      <c r="K121" s="7"/>
    </row>
    <row r="122" customFormat="false" ht="15" hidden="false" customHeight="true" outlineLevel="0" collapsed="false">
      <c r="A122" s="7" t="s">
        <v>56</v>
      </c>
      <c r="B122" s="7" t="n">
        <v>2021</v>
      </c>
      <c r="C122" s="7" t="n">
        <v>2404</v>
      </c>
      <c r="D122" s="7" t="n">
        <v>1052</v>
      </c>
      <c r="E122" s="7" t="n">
        <v>3454</v>
      </c>
      <c r="F122" s="7" t="n">
        <f aca="false">D122/C122</f>
        <v>0.437603993344426</v>
      </c>
      <c r="G122" s="7" t="n">
        <f aca="false">D122/C122*100</f>
        <v>43.7603993344426</v>
      </c>
      <c r="H122" s="7" t="n">
        <f aca="false">C122/INDEX($N$3:$N$7,MATCH(B122,$M$3:$M$7,0))*100</f>
        <v>0.58288396632657</v>
      </c>
      <c r="I122" s="7" t="n">
        <f aca="false">D122/INDEX($O$3:$O$7,MATCH(B122,$M$3:$M$7,0))*100</f>
        <v>0.683241108773024</v>
      </c>
      <c r="J122" s="7" t="s">
        <v>110</v>
      </c>
      <c r="K122" s="7"/>
    </row>
    <row r="123" customFormat="false" ht="15" hidden="false" customHeight="true" outlineLevel="0" collapsed="false">
      <c r="A123" s="7" t="s">
        <v>57</v>
      </c>
      <c r="B123" s="7" t="n">
        <v>2021</v>
      </c>
      <c r="C123" s="7" t="n">
        <v>4728</v>
      </c>
      <c r="D123" s="7" t="n">
        <v>3513</v>
      </c>
      <c r="E123" s="7" t="n">
        <v>3227</v>
      </c>
      <c r="F123" s="7" t="n">
        <f aca="false">D123/C123</f>
        <v>0.743020304568528</v>
      </c>
      <c r="G123" s="7" t="n">
        <f aca="false">D123/C123*100</f>
        <v>74.3020304568528</v>
      </c>
      <c r="H123" s="7" t="n">
        <f aca="false">C123/INDEX($N$3:$N$7,MATCH(B123,$M$3:$M$7,0))*100</f>
        <v>1.14637079567056</v>
      </c>
      <c r="I123" s="7" t="n">
        <f aca="false">D123/INDEX($O$3:$O$7,MATCH(B123,$M$3:$M$7,0))*100</f>
        <v>2.28158366456239</v>
      </c>
      <c r="J123" s="7" t="s">
        <v>110</v>
      </c>
      <c r="K123" s="7"/>
    </row>
    <row r="124" customFormat="false" ht="15" hidden="false" customHeight="true" outlineLevel="0" collapsed="false">
      <c r="A124" s="7" t="s">
        <v>58</v>
      </c>
      <c r="B124" s="7" t="n">
        <v>2021</v>
      </c>
      <c r="C124" s="7" t="n">
        <v>34647</v>
      </c>
      <c r="D124" s="7" t="n">
        <v>10038</v>
      </c>
      <c r="E124" s="7" t="n">
        <v>40754</v>
      </c>
      <c r="F124" s="7" t="n">
        <f aca="false">D124/C124</f>
        <v>0.289722053857477</v>
      </c>
      <c r="G124" s="7" t="n">
        <f aca="false">D124/C124*100</f>
        <v>28.9722053857477</v>
      </c>
      <c r="H124" s="7" t="n">
        <f aca="false">C124/INDEX($N$3:$N$7,MATCH(B124,$M$3:$M$7,0))*100</f>
        <v>8.40065756294371</v>
      </c>
      <c r="I124" s="7" t="n">
        <f aca="false">D124/INDEX($O$3:$O$7,MATCH(B124,$M$3:$M$7,0))*100</f>
        <v>6.51936715766503</v>
      </c>
      <c r="J124" s="7" t="s">
        <v>110</v>
      </c>
      <c r="K124" s="7"/>
    </row>
    <row r="125" customFormat="false" ht="15" hidden="false" customHeight="true" outlineLevel="0" collapsed="false">
      <c r="A125" s="7" t="s">
        <v>59</v>
      </c>
      <c r="B125" s="7" t="n">
        <v>2021</v>
      </c>
      <c r="C125" s="7" t="n">
        <v>33296</v>
      </c>
      <c r="D125" s="7" t="n">
        <v>3429</v>
      </c>
      <c r="E125" s="7" t="n">
        <v>36775</v>
      </c>
      <c r="F125" s="7" t="n">
        <f aca="false">D125/C125</f>
        <v>0.102985343584815</v>
      </c>
      <c r="G125" s="7" t="n">
        <f aca="false">D125/C125*100</f>
        <v>10.2985343584815</v>
      </c>
      <c r="H125" s="7" t="n">
        <f aca="false">C125/INDEX($N$3:$N$7,MATCH(B125,$M$3:$M$7,0))*100</f>
        <v>8.07308841215037</v>
      </c>
      <c r="I125" s="7" t="n">
        <f aca="false">D125/INDEX($O$3:$O$7,MATCH(B125,$M$3:$M$7,0))*100</f>
        <v>2.22702829085808</v>
      </c>
      <c r="J125" s="7" t="s">
        <v>110</v>
      </c>
      <c r="K125" s="7"/>
    </row>
    <row r="126" customFormat="false" ht="15" hidden="false" customHeight="true" outlineLevel="0" collapsed="false">
      <c r="A126" s="7" t="s">
        <v>60</v>
      </c>
      <c r="B126" s="7" t="n">
        <v>2021</v>
      </c>
      <c r="C126" s="7" t="n">
        <v>48877</v>
      </c>
      <c r="D126" s="7" t="n">
        <v>12057</v>
      </c>
      <c r="E126" s="7" t="n">
        <v>48956</v>
      </c>
      <c r="F126" s="7" t="n">
        <f aca="false">D126/C126</f>
        <v>0.246680442744031</v>
      </c>
      <c r="G126" s="7" t="n">
        <f aca="false">D126/C126*100</f>
        <v>24.6680442744031</v>
      </c>
      <c r="H126" s="7" t="n">
        <f aca="false">C126/INDEX($N$3:$N$7,MATCH(B126,$M$3:$M$7,0))*100</f>
        <v>11.8509233037204</v>
      </c>
      <c r="I126" s="7" t="n">
        <f aca="false">D126/INDEX($O$3:$O$7,MATCH(B126,$M$3:$M$7,0))*100</f>
        <v>7.83064453277219</v>
      </c>
      <c r="J126" s="7" t="s">
        <v>110</v>
      </c>
      <c r="K126" s="7"/>
    </row>
    <row r="127" customFormat="false" ht="15" hidden="false" customHeight="true" outlineLevel="0" collapsed="false">
      <c r="A127" s="7" t="s">
        <v>61</v>
      </c>
      <c r="B127" s="7" t="n">
        <v>2021</v>
      </c>
      <c r="C127" s="7" t="n">
        <v>29477</v>
      </c>
      <c r="D127" s="7" t="n">
        <v>13528</v>
      </c>
      <c r="E127" s="7" t="n">
        <v>23071</v>
      </c>
      <c r="F127" s="7" t="n">
        <f aca="false">D127/C127</f>
        <v>0.458934084201242</v>
      </c>
      <c r="G127" s="7" t="n">
        <f aca="false">D127/C127*100</f>
        <v>45.8934084201242</v>
      </c>
      <c r="H127" s="7" t="n">
        <f aca="false">C127/INDEX($N$3:$N$7,MATCH(B127,$M$3:$M$7,0))*100</f>
        <v>7.14711758544439</v>
      </c>
      <c r="I127" s="7" t="n">
        <f aca="false">D127/INDEX($O$3:$O$7,MATCH(B127,$M$3:$M$7,0))*100</f>
        <v>8.78601304133219</v>
      </c>
      <c r="J127" s="7" t="s">
        <v>110</v>
      </c>
      <c r="K127" s="7"/>
    </row>
    <row r="128" customFormat="false" ht="15" hidden="false" customHeight="true" outlineLevel="0" collapsed="false">
      <c r="A128" s="7" t="s">
        <v>62</v>
      </c>
      <c r="B128" s="7" t="n">
        <v>2021</v>
      </c>
      <c r="C128" s="7" t="n">
        <v>366</v>
      </c>
      <c r="D128" s="7" t="n">
        <v>110</v>
      </c>
      <c r="E128" s="7" t="n">
        <v>504</v>
      </c>
      <c r="F128" s="7" t="n">
        <f aca="false">D128/C128</f>
        <v>0.300546448087432</v>
      </c>
      <c r="G128" s="7" t="n">
        <f aca="false">D128/C128*100</f>
        <v>30.0546448087432</v>
      </c>
      <c r="H128" s="7" t="n">
        <f aca="false">C128/INDEX($N$3:$N$7,MATCH(B128,$M$3:$M$7,0))*100</f>
        <v>0.0887419016953098</v>
      </c>
      <c r="I128" s="7" t="n">
        <f aca="false">D128/INDEX($O$3:$O$7,MATCH(B128,$M$3:$M$7,0))*100</f>
        <v>0.0714415608032629</v>
      </c>
      <c r="J128" s="7" t="s">
        <v>110</v>
      </c>
      <c r="K128" s="7"/>
    </row>
    <row r="129" customFormat="false" ht="15" hidden="false" customHeight="true" outlineLevel="0" collapsed="false">
      <c r="A129" s="7" t="s">
        <v>63</v>
      </c>
      <c r="B129" s="7" t="n">
        <v>2021</v>
      </c>
      <c r="C129" s="7" t="n">
        <v>245</v>
      </c>
      <c r="D129" s="7" t="n">
        <v>187</v>
      </c>
      <c r="E129" s="7" t="n">
        <v>263</v>
      </c>
      <c r="F129" s="7" t="n">
        <f aca="false">D129/C129</f>
        <v>0.763265306122449</v>
      </c>
      <c r="G129" s="7" t="n">
        <f aca="false">D129/C129*100</f>
        <v>76.3265306122449</v>
      </c>
      <c r="H129" s="7" t="n">
        <f aca="false">C129/INDEX($N$3:$N$7,MATCH(B129,$M$3:$M$7,0))*100</f>
        <v>0.0594037320091555</v>
      </c>
      <c r="I129" s="7" t="n">
        <f aca="false">D129/INDEX($O$3:$O$7,MATCH(B129,$M$3:$M$7,0))*100</f>
        <v>0.121450653365547</v>
      </c>
      <c r="J129" s="7" t="s">
        <v>110</v>
      </c>
      <c r="K129" s="7"/>
    </row>
    <row r="130" customFormat="false" ht="15" hidden="false" customHeight="true" outlineLevel="0" collapsed="false">
      <c r="A130" s="7" t="s">
        <v>64</v>
      </c>
      <c r="B130" s="7" t="n">
        <v>2021</v>
      </c>
      <c r="C130" s="7" t="n">
        <v>69</v>
      </c>
      <c r="D130" s="7" t="n">
        <v>56</v>
      </c>
      <c r="E130" s="7" t="n">
        <v>65</v>
      </c>
      <c r="F130" s="7" t="n">
        <f aca="false">D130/C130</f>
        <v>0.811594202898551</v>
      </c>
      <c r="G130" s="7" t="n">
        <f aca="false">D130/C130*100</f>
        <v>81.1594202898551</v>
      </c>
      <c r="H130" s="7" t="n">
        <f aca="false">C130/INDEX($N$3:$N$7,MATCH(B130,$M$3:$M$7,0))*100</f>
        <v>0.0167300306474764</v>
      </c>
      <c r="I130" s="7" t="n">
        <f aca="false">D130/INDEX($O$3:$O$7,MATCH(B130,$M$3:$M$7,0))*100</f>
        <v>0.0363702491362066</v>
      </c>
      <c r="J130" s="7" t="s">
        <v>110</v>
      </c>
      <c r="K130" s="7"/>
    </row>
    <row r="131" customFormat="false" ht="15" hidden="false" customHeight="true" outlineLevel="0" collapsed="false">
      <c r="A131" s="7" t="s">
        <v>65</v>
      </c>
      <c r="B131" s="7" t="n">
        <v>2021</v>
      </c>
      <c r="C131" s="7" t="n">
        <v>746</v>
      </c>
      <c r="D131" s="7" t="n">
        <v>55</v>
      </c>
      <c r="E131" s="7" t="n">
        <v>380</v>
      </c>
      <c r="F131" s="7" t="n">
        <f aca="false">D131/C131</f>
        <v>0.0737265415549598</v>
      </c>
      <c r="G131" s="7" t="n">
        <f aca="false">D131/C131*100</f>
        <v>7.37265415549598</v>
      </c>
      <c r="H131" s="7" t="n">
        <f aca="false">C131/INDEX($N$3:$N$7,MATCH(B131,$M$3:$M$7,0))*100</f>
        <v>0.180878302362571</v>
      </c>
      <c r="I131" s="7" t="n">
        <f aca="false">D131/INDEX($O$3:$O$7,MATCH(B131,$M$3:$M$7,0))*100</f>
        <v>0.0357207804016315</v>
      </c>
      <c r="J131" s="7" t="s">
        <v>110</v>
      </c>
      <c r="K131" s="7"/>
    </row>
    <row r="132" customFormat="false" ht="15" hidden="false" customHeight="true" outlineLevel="0" collapsed="false">
      <c r="A132" s="7" t="s">
        <v>66</v>
      </c>
      <c r="B132" s="7" t="n">
        <v>2021</v>
      </c>
      <c r="C132" s="7" t="n">
        <v>10983</v>
      </c>
      <c r="D132" s="7" t="n">
        <v>5081</v>
      </c>
      <c r="E132" s="7" t="n">
        <v>9782</v>
      </c>
      <c r="F132" s="7" t="n">
        <f aca="false">D132/C132</f>
        <v>0.462624055358281</v>
      </c>
      <c r="G132" s="7" t="n">
        <f aca="false">D132/C132*100</f>
        <v>46.2624055358281</v>
      </c>
      <c r="H132" s="7" t="n">
        <f aca="false">C132/INDEX($N$3:$N$7,MATCH(B132,$M$3:$M$7,0))*100</f>
        <v>2.66298444349614</v>
      </c>
      <c r="I132" s="7" t="n">
        <f aca="false">D132/INDEX($O$3:$O$7,MATCH(B132,$M$3:$M$7,0))*100</f>
        <v>3.29995064037617</v>
      </c>
      <c r="J132" s="7" t="s">
        <v>110</v>
      </c>
      <c r="K132" s="7"/>
    </row>
    <row r="133" customFormat="false" ht="15" hidden="false" customHeight="true" outlineLevel="0" collapsed="false">
      <c r="A133" s="7" t="s">
        <v>67</v>
      </c>
      <c r="B133" s="7" t="n">
        <v>2021</v>
      </c>
      <c r="C133" s="7" t="n">
        <v>5871</v>
      </c>
      <c r="D133" s="7" t="n">
        <v>4589</v>
      </c>
      <c r="E133" s="7" t="n">
        <v>3072</v>
      </c>
      <c r="F133" s="7" t="n">
        <f aca="false">D133/C133</f>
        <v>0.781638562425481</v>
      </c>
      <c r="G133" s="7" t="n">
        <f aca="false">D133/C133*100</f>
        <v>78.1638562425481</v>
      </c>
      <c r="H133" s="7" t="n">
        <f aca="false">C133/INDEX($N$3:$N$7,MATCH(B133,$M$3:$M$7,0))*100</f>
        <v>1.42350739030919</v>
      </c>
      <c r="I133" s="7" t="n">
        <f aca="false">D133/INDEX($O$3:$O$7,MATCH(B133,$M$3:$M$7,0))*100</f>
        <v>2.98041202296521</v>
      </c>
      <c r="J133" s="7" t="s">
        <v>110</v>
      </c>
      <c r="K133" s="7"/>
    </row>
    <row r="134" customFormat="false" ht="15" hidden="false" customHeight="true" outlineLevel="0" collapsed="false">
      <c r="A134" s="7" t="s">
        <v>68</v>
      </c>
      <c r="B134" s="7" t="n">
        <v>2021</v>
      </c>
      <c r="C134" s="7" t="n">
        <v>20951</v>
      </c>
      <c r="D134" s="7" t="n">
        <v>10043</v>
      </c>
      <c r="E134" s="7" t="n">
        <v>19344</v>
      </c>
      <c r="F134" s="7" t="n">
        <f aca="false">D134/C134</f>
        <v>0.479356593957329</v>
      </c>
      <c r="G134" s="7" t="n">
        <f aca="false">D134/C134*100</f>
        <v>47.9356593957329</v>
      </c>
      <c r="H134" s="7" t="n">
        <f aca="false">C134/INDEX($N$3:$N$7,MATCH(B134,$M$3:$M$7,0))*100</f>
        <v>5.07986771152578</v>
      </c>
      <c r="I134" s="7" t="n">
        <f aca="false">D134/INDEX($O$3:$O$7,MATCH(B134,$M$3:$M$7,0))*100</f>
        <v>6.52261450133791</v>
      </c>
      <c r="J134" s="7" t="s">
        <v>110</v>
      </c>
      <c r="K134" s="7"/>
    </row>
    <row r="135" customFormat="false" ht="15" hidden="false" customHeight="true" outlineLevel="0" collapsed="false">
      <c r="A135" s="7" t="s">
        <v>69</v>
      </c>
      <c r="B135" s="7" t="n">
        <v>2021</v>
      </c>
      <c r="C135" s="7" t="n">
        <v>155</v>
      </c>
      <c r="D135" s="7" t="n">
        <v>56</v>
      </c>
      <c r="E135" s="7" t="n">
        <v>244</v>
      </c>
      <c r="F135" s="7" t="n">
        <f aca="false">D135/C135</f>
        <v>0.361290322580645</v>
      </c>
      <c r="G135" s="7" t="n">
        <f aca="false">D135/C135*100</f>
        <v>36.1290322580645</v>
      </c>
      <c r="H135" s="7" t="n">
        <f aca="false">C135/INDEX($N$3:$N$7,MATCH(B135,$M$3:$M$7,0))*100</f>
        <v>0.0375819529037514</v>
      </c>
      <c r="I135" s="7" t="n">
        <f aca="false">D135/INDEX($O$3:$O$7,MATCH(B135,$M$3:$M$7,0))*100</f>
        <v>0.0363702491362066</v>
      </c>
      <c r="J135" s="7" t="s">
        <v>110</v>
      </c>
      <c r="K135" s="7"/>
    </row>
    <row r="136" customFormat="false" ht="15" hidden="false" customHeight="true" outlineLevel="0" collapsed="false">
      <c r="A136" s="7" t="s">
        <v>70</v>
      </c>
      <c r="B136" s="7" t="n">
        <v>2021</v>
      </c>
      <c r="C136" s="7" t="n">
        <v>55682</v>
      </c>
      <c r="D136" s="7" t="n">
        <v>15384</v>
      </c>
      <c r="E136" s="7" t="n">
        <v>55996</v>
      </c>
      <c r="F136" s="7" t="n">
        <f aca="false">D136/C136</f>
        <v>0.276283179483496</v>
      </c>
      <c r="G136" s="7" t="n">
        <f aca="false">D136/C136*100</f>
        <v>27.6283179483496</v>
      </c>
      <c r="H136" s="7" t="n">
        <f aca="false">C136/INDEX($N$3:$N$7,MATCH(B136,$M$3:$M$7,0))*100</f>
        <v>13.5008922683012</v>
      </c>
      <c r="I136" s="7" t="n">
        <f aca="false">D136/INDEX($O$3:$O$7,MATCH(B136,$M$3:$M$7,0))*100</f>
        <v>9.99142701270361</v>
      </c>
      <c r="J136" s="7" t="s">
        <v>110</v>
      </c>
      <c r="K136" s="7"/>
    </row>
    <row r="137" customFormat="false" ht="15" hidden="false" customHeight="true" outlineLevel="0" collapsed="false">
      <c r="A137" s="7" t="s">
        <v>71</v>
      </c>
      <c r="B137" s="7" t="n">
        <v>2021</v>
      </c>
      <c r="C137" s="7" t="n">
        <v>21315</v>
      </c>
      <c r="D137" s="7" t="n">
        <v>7557</v>
      </c>
      <c r="E137" s="7" t="n">
        <v>20107</v>
      </c>
      <c r="F137" s="7" t="n">
        <f aca="false">D137/C137</f>
        <v>0.354539057002111</v>
      </c>
      <c r="G137" s="7" t="n">
        <f aca="false">D137/C137*100</f>
        <v>35.4539057002111</v>
      </c>
      <c r="H137" s="7" t="n">
        <f aca="false">C137/INDEX($N$3:$N$7,MATCH(B137,$M$3:$M$7,0))*100</f>
        <v>5.16812468479652</v>
      </c>
      <c r="I137" s="7" t="n">
        <f aca="false">D137/INDEX($O$3:$O$7,MATCH(B137,$M$3:$M$7,0))*100</f>
        <v>4.90803522718416</v>
      </c>
      <c r="J137" s="7" t="s">
        <v>110</v>
      </c>
      <c r="K137" s="7"/>
    </row>
    <row r="138" customFormat="false" ht="15" hidden="false" customHeight="true" outlineLevel="0" collapsed="false">
      <c r="A138" s="7" t="s">
        <v>72</v>
      </c>
      <c r="B138" s="7" t="n">
        <v>2021</v>
      </c>
      <c r="C138" s="7" t="n">
        <v>479</v>
      </c>
      <c r="D138" s="7" t="n">
        <v>194</v>
      </c>
      <c r="E138" s="7" t="n">
        <v>547</v>
      </c>
      <c r="F138" s="7" t="n">
        <f aca="false">D138/C138</f>
        <v>0.405010438413361</v>
      </c>
      <c r="G138" s="7" t="n">
        <f aca="false">D138/C138*100</f>
        <v>40.5010438413361</v>
      </c>
      <c r="H138" s="7" t="n">
        <f aca="false">C138/INDEX($N$3:$N$7,MATCH(B138,$M$3:$M$7,0))*100</f>
        <v>0.116140357683206</v>
      </c>
      <c r="I138" s="7" t="n">
        <f aca="false">D138/INDEX($O$3:$O$7,MATCH(B138,$M$3:$M$7,0))*100</f>
        <v>0.125996934507573</v>
      </c>
      <c r="J138" s="7" t="s">
        <v>110</v>
      </c>
      <c r="K138" s="7"/>
    </row>
    <row r="139" customFormat="false" ht="15" hidden="false" customHeight="true" outlineLevel="0" collapsed="false">
      <c r="A139" s="7" t="s">
        <v>73</v>
      </c>
      <c r="B139" s="7" t="n">
        <v>2021</v>
      </c>
      <c r="C139" s="7" t="n">
        <v>1405</v>
      </c>
      <c r="D139" s="7" t="n">
        <v>820</v>
      </c>
      <c r="E139" s="7" t="n">
        <v>1091</v>
      </c>
      <c r="F139" s="7" t="n">
        <f aca="false">D139/C139</f>
        <v>0.583629893238434</v>
      </c>
      <c r="G139" s="7" t="n">
        <f aca="false">D139/C139*100</f>
        <v>58.3629893238434</v>
      </c>
      <c r="H139" s="7" t="n">
        <f aca="false">C139/INDEX($N$3:$N$7,MATCH(B139,$M$3:$M$7,0))*100</f>
        <v>0.340662218256585</v>
      </c>
      <c r="I139" s="7" t="n">
        <f aca="false">D139/INDEX($O$3:$O$7,MATCH(B139,$M$3:$M$7,0))*100</f>
        <v>0.532564362351596</v>
      </c>
      <c r="J139" s="7" t="s">
        <v>110</v>
      </c>
      <c r="K139" s="7"/>
    </row>
    <row r="140" customFormat="false" ht="15" hidden="false" customHeight="true" outlineLevel="0" collapsed="false">
      <c r="A140" s="7" t="s">
        <v>74</v>
      </c>
      <c r="B140" s="7" t="n">
        <v>2021</v>
      </c>
      <c r="C140" s="7" t="n">
        <v>37729</v>
      </c>
      <c r="D140" s="7" t="n">
        <v>21227</v>
      </c>
      <c r="E140" s="7" t="n">
        <v>24897</v>
      </c>
      <c r="F140" s="7" t="n">
        <f aca="false">D140/C140</f>
        <v>0.56261761509714</v>
      </c>
      <c r="G140" s="7" t="n">
        <f aca="false">D140/C140*100</f>
        <v>56.261761509714</v>
      </c>
      <c r="H140" s="7" t="n">
        <f aca="false">C140/INDEX($N$3:$N$7,MATCH(B140,$M$3:$M$7,0))*100</f>
        <v>9.14793226519766</v>
      </c>
      <c r="I140" s="7" t="n">
        <f aca="false">D140/INDEX($O$3:$O$7,MATCH(B140,$M$3:$M$7,0))*100</f>
        <v>13.786272828826</v>
      </c>
      <c r="J140" s="7" t="s">
        <v>110</v>
      </c>
      <c r="K140" s="7"/>
    </row>
    <row r="141" customFormat="false" ht="15" hidden="false" customHeight="true" outlineLevel="0" collapsed="false">
      <c r="A141" s="7" t="s">
        <v>75</v>
      </c>
      <c r="B141" s="7" t="n">
        <v>2021</v>
      </c>
      <c r="C141" s="7" t="n">
        <v>11937</v>
      </c>
      <c r="D141" s="7" t="n">
        <v>5800</v>
      </c>
      <c r="E141" s="7" t="n">
        <v>10454</v>
      </c>
      <c r="F141" s="7" t="n">
        <f aca="false">D141/C141</f>
        <v>0.485884225517299</v>
      </c>
      <c r="G141" s="7" t="n">
        <f aca="false">D141/C141*100</f>
        <v>48.5884225517299</v>
      </c>
      <c r="H141" s="7" t="n">
        <f aca="false">C141/INDEX($N$3:$N$7,MATCH(B141,$M$3:$M$7,0))*100</f>
        <v>2.89429530201342</v>
      </c>
      <c r="I141" s="7" t="n">
        <f aca="false">D141/INDEX($O$3:$O$7,MATCH(B141,$M$3:$M$7,0))*100</f>
        <v>3.76691866053568</v>
      </c>
      <c r="J141" s="7" t="s">
        <v>110</v>
      </c>
      <c r="K141" s="7"/>
    </row>
    <row r="142" customFormat="false" ht="15" hidden="false" customHeight="true" outlineLevel="0" collapsed="false">
      <c r="A142" s="7" t="s">
        <v>76</v>
      </c>
      <c r="B142" s="7" t="n">
        <v>2021</v>
      </c>
      <c r="C142" s="7" t="n">
        <v>115</v>
      </c>
      <c r="D142" s="7" t="n">
        <v>20</v>
      </c>
      <c r="E142" s="7" t="n">
        <v>97</v>
      </c>
      <c r="F142" s="7" t="n">
        <f aca="false">D142/C142</f>
        <v>0.173913043478261</v>
      </c>
      <c r="G142" s="7" t="n">
        <f aca="false">D142/C142*100</f>
        <v>17.3913043478261</v>
      </c>
      <c r="H142" s="7" t="n">
        <f aca="false">C142/INDEX($N$3:$N$7,MATCH(B142,$M$3:$M$7,0))*100</f>
        <v>0.0278833844124607</v>
      </c>
      <c r="I142" s="7" t="n">
        <f aca="false">D142/INDEX($O$3:$O$7,MATCH(B142,$M$3:$M$7,0))*100</f>
        <v>0.0129893746915024</v>
      </c>
      <c r="J142" s="7" t="s">
        <v>110</v>
      </c>
      <c r="K142" s="7"/>
    </row>
    <row r="143" customFormat="false" ht="15" hidden="false" customHeight="true" outlineLevel="0" collapsed="false">
      <c r="A143" s="7" t="s">
        <v>77</v>
      </c>
      <c r="B143" s="7" t="n">
        <v>2021</v>
      </c>
      <c r="C143" s="7" t="n">
        <v>208</v>
      </c>
      <c r="D143" s="7" t="n">
        <v>96</v>
      </c>
      <c r="E143" s="7" t="n">
        <v>172</v>
      </c>
      <c r="F143" s="7" t="n">
        <f aca="false">D143/C143</f>
        <v>0.461538461538462</v>
      </c>
      <c r="G143" s="7" t="n">
        <f aca="false">D143/C143*100</f>
        <v>46.1538461538462</v>
      </c>
      <c r="H143" s="7" t="n">
        <f aca="false">C143/INDEX($N$3:$N$7,MATCH(B143,$M$3:$M$7,0))*100</f>
        <v>0.0504325561547116</v>
      </c>
      <c r="I143" s="7" t="n">
        <f aca="false">D143/INDEX($O$3:$O$7,MATCH(B143,$M$3:$M$7,0))*100</f>
        <v>0.0623489985192113</v>
      </c>
      <c r="J143" s="7" t="s">
        <v>110</v>
      </c>
      <c r="K143" s="7"/>
    </row>
    <row r="144" customFormat="false" ht="15" hidden="false" customHeight="true" outlineLevel="0" collapsed="false">
      <c r="A144" s="7" t="s">
        <v>93</v>
      </c>
      <c r="B144" s="7" t="n">
        <v>2021</v>
      </c>
      <c r="C144" s="7" t="n">
        <v>140</v>
      </c>
      <c r="D144" s="7" t="n">
        <v>76</v>
      </c>
      <c r="E144" s="7" t="n">
        <v>171</v>
      </c>
      <c r="F144" s="7" t="n">
        <f aca="false">D144/C144</f>
        <v>0.542857142857143</v>
      </c>
      <c r="G144" s="7" t="n">
        <f aca="false">D144/C144*100</f>
        <v>54.2857142857143</v>
      </c>
      <c r="H144" s="7" t="n">
        <f aca="false">C144/INDEX($N$3:$N$7,MATCH(B144,$M$3:$M$7,0))*100</f>
        <v>0.0339449897195174</v>
      </c>
      <c r="I144" s="7" t="n">
        <f aca="false">D144/INDEX($O$3:$O$7,MATCH(B144,$M$3:$M$7,0))*100</f>
        <v>0.0493596238277089</v>
      </c>
      <c r="J144" s="7" t="s">
        <v>110</v>
      </c>
      <c r="K144" s="7" t="s">
        <v>115</v>
      </c>
    </row>
    <row r="145" customFormat="false" ht="15" hidden="false" customHeight="true" outlineLevel="0" collapsed="false">
      <c r="A145" s="7" t="s">
        <v>80</v>
      </c>
      <c r="B145" s="7" t="n">
        <v>2021</v>
      </c>
      <c r="C145" s="7" t="n">
        <v>4720</v>
      </c>
      <c r="D145" s="7" t="n">
        <v>1239</v>
      </c>
      <c r="E145" s="7" t="n">
        <v>4273</v>
      </c>
      <c r="F145" s="7" t="n">
        <f aca="false">D145/C145</f>
        <v>0.2625</v>
      </c>
      <c r="G145" s="7" t="n">
        <f aca="false">D145/C145*100</f>
        <v>26.25</v>
      </c>
      <c r="H145" s="7" t="n">
        <f aca="false">C145/INDEX($N$3:$N$7,MATCH(B145,$M$3:$M$7,0))*100</f>
        <v>1.1444310819723</v>
      </c>
      <c r="I145" s="7" t="n">
        <f aca="false">D145/INDEX($O$3:$O$7,MATCH(B145,$M$3:$M$7,0))*100</f>
        <v>0.804691762138571</v>
      </c>
      <c r="J145" s="7" t="s">
        <v>110</v>
      </c>
      <c r="K145" s="7"/>
    </row>
    <row r="146" customFormat="false" ht="15" hidden="false" customHeight="true" outlineLevel="0" collapsed="false">
      <c r="A146" s="7" t="s">
        <v>81</v>
      </c>
      <c r="B146" s="7" t="n">
        <v>2021</v>
      </c>
      <c r="C146" s="7" t="n">
        <v>5452</v>
      </c>
      <c r="D146" s="7" t="n">
        <v>774</v>
      </c>
      <c r="E146" s="7" t="n">
        <v>6972</v>
      </c>
      <c r="F146" s="7" t="n">
        <f aca="false">D146/C146</f>
        <v>0.141966250917095</v>
      </c>
      <c r="G146" s="7" t="n">
        <f aca="false">D146/C146*100</f>
        <v>14.1966250917095</v>
      </c>
      <c r="H146" s="7" t="n">
        <f aca="false">C146/INDEX($N$3:$N$7,MATCH(B146,$M$3:$M$7,0))*100</f>
        <v>1.32191488536292</v>
      </c>
      <c r="I146" s="7" t="n">
        <f aca="false">D146/INDEX($O$3:$O$7,MATCH(B146,$M$3:$M$7,0))*100</f>
        <v>0.502688800561141</v>
      </c>
      <c r="J146" s="7" t="s">
        <v>110</v>
      </c>
      <c r="K146" s="7"/>
    </row>
    <row r="147" customFormat="false" ht="15" hidden="false" customHeight="true" outlineLevel="0" collapsed="false">
      <c r="A147" s="7" t="s">
        <v>82</v>
      </c>
      <c r="B147" s="7" t="n">
        <v>2021</v>
      </c>
      <c r="C147" s="7" t="n">
        <v>236</v>
      </c>
      <c r="D147" s="7" t="n">
        <v>56</v>
      </c>
      <c r="E147" s="7" t="n">
        <v>242</v>
      </c>
      <c r="F147" s="7" t="n">
        <f aca="false">D147/C147</f>
        <v>0.23728813559322</v>
      </c>
      <c r="G147" s="7" t="n">
        <f aca="false">D147/C147*100</f>
        <v>23.728813559322</v>
      </c>
      <c r="H147" s="7" t="n">
        <f aca="false">C147/INDEX($N$3:$N$7,MATCH(B147,$M$3:$M$7,0))*100</f>
        <v>0.0572215540986151</v>
      </c>
      <c r="I147" s="7" t="n">
        <f aca="false">D147/INDEX($O$3:$O$7,MATCH(B147,$M$3:$M$7,0))*100</f>
        <v>0.0363702491362066</v>
      </c>
      <c r="J147" s="7" t="s">
        <v>110</v>
      </c>
      <c r="K147" s="7" t="s">
        <v>116</v>
      </c>
    </row>
    <row r="148" customFormat="false" ht="15" hidden="false" customHeight="true" outlineLevel="0" collapsed="false">
      <c r="A148" s="7" t="s">
        <v>83</v>
      </c>
      <c r="B148" s="7" t="n">
        <v>2021</v>
      </c>
      <c r="C148" s="7" t="n">
        <v>4</v>
      </c>
      <c r="D148" s="7" t="n">
        <v>1</v>
      </c>
      <c r="E148" s="7" t="n">
        <v>6</v>
      </c>
      <c r="F148" s="7" t="n">
        <f aca="false">D148/C148</f>
        <v>0.25</v>
      </c>
      <c r="G148" s="7" t="n">
        <f aca="false">D148/C148*100</f>
        <v>25</v>
      </c>
      <c r="H148" s="7" t="n">
        <f aca="false">C148/INDEX($N$3:$N$7,MATCH(B148,$M$3:$M$7,0))*100</f>
        <v>0.000969856849129068</v>
      </c>
      <c r="I148" s="7" t="n">
        <f aca="false">D148/INDEX($O$3:$O$7,MATCH(B148,$M$3:$M$7,0))*100</f>
        <v>0.000649468734575118</v>
      </c>
      <c r="J148" s="7" t="s">
        <v>110</v>
      </c>
      <c r="K148" s="7"/>
    </row>
    <row r="149" customFormat="false" ht="15" hidden="false" customHeight="true" outlineLevel="0" collapsed="false">
      <c r="A149" s="7" t="s">
        <v>84</v>
      </c>
      <c r="B149" s="7" t="n">
        <v>2021</v>
      </c>
      <c r="C149" s="7" t="n">
        <v>1049</v>
      </c>
      <c r="D149" s="7" t="n">
        <v>140</v>
      </c>
      <c r="E149" s="7" t="n">
        <v>1099</v>
      </c>
      <c r="F149" s="7" t="n">
        <f aca="false">D149/C149</f>
        <v>0.133460438512869</v>
      </c>
      <c r="G149" s="7" t="n">
        <f aca="false">D149/C149*100</f>
        <v>13.3460438512869</v>
      </c>
      <c r="H149" s="7" t="n">
        <f aca="false">C149/INDEX($N$3:$N$7,MATCH(B149,$M$3:$M$7,0))*100</f>
        <v>0.254344958684098</v>
      </c>
      <c r="I149" s="7" t="n">
        <f aca="false">D149/INDEX($O$3:$O$7,MATCH(B149,$M$3:$M$7,0))*100</f>
        <v>0.0909256228405165</v>
      </c>
      <c r="J149" s="7" t="s">
        <v>110</v>
      </c>
      <c r="K149" s="7"/>
    </row>
    <row r="150" customFormat="false" ht="15" hidden="false" customHeight="true" outlineLevel="0" collapsed="false">
      <c r="A150" s="7" t="s">
        <v>48</v>
      </c>
      <c r="B150" s="7" t="n">
        <v>2022</v>
      </c>
      <c r="C150" s="7" t="n">
        <v>21249</v>
      </c>
      <c r="D150" s="7" t="n">
        <v>8293</v>
      </c>
      <c r="E150" s="7" t="n">
        <v>21340</v>
      </c>
      <c r="F150" s="7" t="n">
        <f aca="false">D150/C150</f>
        <v>0.390277189514801</v>
      </c>
      <c r="G150" s="7" t="n">
        <f aca="false">D150/C150*100</f>
        <v>39.0277189514801</v>
      </c>
      <c r="H150" s="7" t="n">
        <f aca="false">C150/INDEX($N$3:$N$7,MATCH(B150,$M$3:$M$7,0))*100</f>
        <v>4.60621011376249</v>
      </c>
      <c r="I150" s="7" t="n">
        <f aca="false">D150/INDEX($O$3:$O$7,MATCH(B150,$M$3:$M$7,0))*100</f>
        <v>4.92192461318409</v>
      </c>
      <c r="J150" s="7" t="s">
        <v>110</v>
      </c>
      <c r="K150" s="7"/>
    </row>
    <row r="151" customFormat="false" ht="15" hidden="false" customHeight="true" outlineLevel="0" collapsed="false">
      <c r="A151" s="7" t="s">
        <v>49</v>
      </c>
      <c r="B151" s="7" t="n">
        <v>2022</v>
      </c>
      <c r="C151" s="7" t="n">
        <v>227</v>
      </c>
      <c r="D151" s="7" t="n">
        <v>148</v>
      </c>
      <c r="E151" s="7" t="n">
        <v>186</v>
      </c>
      <c r="F151" s="7" t="n">
        <f aca="false">D151/C151</f>
        <v>0.651982378854626</v>
      </c>
      <c r="G151" s="7" t="n">
        <f aca="false">D151/C151*100</f>
        <v>65.1982378854626</v>
      </c>
      <c r="H151" s="7" t="n">
        <f aca="false">C151/INDEX($N$3:$N$7,MATCH(B151,$M$3:$M$7,0))*100</f>
        <v>0.0492074778024417</v>
      </c>
      <c r="I151" s="7" t="n">
        <f aca="false">D151/INDEX($O$3:$O$7,MATCH(B151,$M$3:$M$7,0))*100</f>
        <v>0.0878385195648432</v>
      </c>
      <c r="J151" s="7" t="s">
        <v>110</v>
      </c>
      <c r="K151" s="7"/>
    </row>
    <row r="152" customFormat="false" ht="15" hidden="false" customHeight="true" outlineLevel="0" collapsed="false">
      <c r="A152" s="7" t="s">
        <v>50</v>
      </c>
      <c r="B152" s="7" t="n">
        <v>2022</v>
      </c>
      <c r="C152" s="7" t="n">
        <v>7023</v>
      </c>
      <c r="D152" s="7" t="n">
        <v>2994</v>
      </c>
      <c r="E152" s="7" t="n">
        <v>5637</v>
      </c>
      <c r="F152" s="7" t="n">
        <f aca="false">D152/C152</f>
        <v>0.4263135412217</v>
      </c>
      <c r="G152" s="7" t="n">
        <f aca="false">D152/C152*100</f>
        <v>42.63135412217</v>
      </c>
      <c r="H152" s="7" t="n">
        <f aca="false">C152/INDEX($N$3:$N$7,MATCH(B152,$M$3:$M$7,0))*100</f>
        <v>1.52239698945616</v>
      </c>
      <c r="I152" s="7" t="n">
        <f aca="false">D152/INDEX($O$3:$O$7,MATCH(B152,$M$3:$M$7,0))*100</f>
        <v>1.77694951065636</v>
      </c>
      <c r="J152" s="7" t="s">
        <v>110</v>
      </c>
      <c r="K152" s="7"/>
    </row>
    <row r="153" customFormat="false" ht="15" hidden="false" customHeight="true" outlineLevel="0" collapsed="false">
      <c r="A153" s="7" t="s">
        <v>51</v>
      </c>
      <c r="B153" s="7" t="n">
        <v>2022</v>
      </c>
      <c r="C153" s="7" t="n">
        <v>10801</v>
      </c>
      <c r="D153" s="7" t="n">
        <v>8898</v>
      </c>
      <c r="E153" s="7" t="n">
        <v>7068</v>
      </c>
      <c r="F153" s="7" t="n">
        <f aca="false">D153/C153</f>
        <v>0.823812609943524</v>
      </c>
      <c r="G153" s="7" t="n">
        <f aca="false">D153/C153*100</f>
        <v>82.3812609943524</v>
      </c>
      <c r="H153" s="7" t="n">
        <f aca="false">C153/INDEX($N$3:$N$7,MATCH(B153,$M$3:$M$7,0))*100</f>
        <v>2.34136549667037</v>
      </c>
      <c r="I153" s="7" t="n">
        <f aca="false">D153/INDEX($O$3:$O$7,MATCH(B153,$M$3:$M$7,0))*100</f>
        <v>5.28099423708091</v>
      </c>
      <c r="J153" s="7" t="s">
        <v>110</v>
      </c>
      <c r="K153" s="7"/>
    </row>
    <row r="154" customFormat="false" ht="15" hidden="false" customHeight="true" outlineLevel="0" collapsed="false">
      <c r="A154" s="7" t="s">
        <v>52</v>
      </c>
      <c r="B154" s="7" t="n">
        <v>2022</v>
      </c>
      <c r="C154" s="7" t="n">
        <v>13279</v>
      </c>
      <c r="D154" s="7" t="n">
        <v>5834</v>
      </c>
      <c r="E154" s="7" t="n">
        <v>11695</v>
      </c>
      <c r="F154" s="7" t="n">
        <f aca="false">D154/C154</f>
        <v>0.439340311770465</v>
      </c>
      <c r="G154" s="7" t="n">
        <f aca="false">D154/C154*100</f>
        <v>43.9340311770465</v>
      </c>
      <c r="H154" s="7" t="n">
        <f aca="false">C154/INDEX($N$3:$N$7,MATCH(B154,$M$3:$M$7,0))*100</f>
        <v>2.87852906492786</v>
      </c>
      <c r="I154" s="7" t="n">
        <f aca="false">D154/INDEX($O$3:$O$7,MATCH(B154,$M$3:$M$7,0))*100</f>
        <v>3.46249948068443</v>
      </c>
      <c r="J154" s="7" t="s">
        <v>110</v>
      </c>
      <c r="K154" s="7"/>
    </row>
    <row r="155" customFormat="false" ht="15" hidden="false" customHeight="true" outlineLevel="0" collapsed="false">
      <c r="A155" s="7" t="s">
        <v>53</v>
      </c>
      <c r="B155" s="7" t="n">
        <v>2022</v>
      </c>
      <c r="C155" s="7" t="n">
        <v>3011</v>
      </c>
      <c r="D155" s="7" t="n">
        <v>271</v>
      </c>
      <c r="E155" s="7" t="n">
        <v>1091</v>
      </c>
      <c r="F155" s="7" t="n">
        <f aca="false">D155/C155</f>
        <v>0.0900033211557622</v>
      </c>
      <c r="G155" s="7" t="n">
        <f aca="false">D155/C155*100</f>
        <v>9.00033211557622</v>
      </c>
      <c r="H155" s="7" t="n">
        <f aca="false">C155/INDEX($N$3:$N$7,MATCH(B155,$M$3:$M$7,0))*100</f>
        <v>0.652703593229745</v>
      </c>
      <c r="I155" s="7" t="n">
        <f aca="false">D155/INDEX($O$3:$O$7,MATCH(B155,$M$3:$M$7,0))*100</f>
        <v>0.160839451365355</v>
      </c>
      <c r="J155" s="7" t="s">
        <v>110</v>
      </c>
      <c r="K155" s="7"/>
    </row>
    <row r="156" customFormat="false" ht="15" hidden="false" customHeight="true" outlineLevel="0" collapsed="false">
      <c r="A156" s="7" t="s">
        <v>54</v>
      </c>
      <c r="B156" s="7" t="n">
        <v>2022</v>
      </c>
      <c r="C156" s="7" t="n">
        <v>15751</v>
      </c>
      <c r="D156" s="7" t="n">
        <v>7618</v>
      </c>
      <c r="E156" s="7" t="n">
        <v>15089</v>
      </c>
      <c r="F156" s="7" t="n">
        <f aca="false">D156/C156</f>
        <v>0.483651831629738</v>
      </c>
      <c r="G156" s="7" t="n">
        <f aca="false">D156/C156*100</f>
        <v>48.3651831629738</v>
      </c>
      <c r="H156" s="7" t="n">
        <f aca="false">C156/INDEX($N$3:$N$7,MATCH(B156,$M$3:$M$7,0))*100</f>
        <v>3.41439199500555</v>
      </c>
      <c r="I156" s="7" t="n">
        <f aca="false">D156/INDEX($O$3:$O$7,MATCH(B156,$M$3:$M$7,0))*100</f>
        <v>4.52130974354713</v>
      </c>
      <c r="J156" s="7" t="s">
        <v>110</v>
      </c>
      <c r="K156" s="7"/>
    </row>
    <row r="157" customFormat="false" ht="15" hidden="false" customHeight="true" outlineLevel="0" collapsed="false">
      <c r="A157" s="7" t="s">
        <v>55</v>
      </c>
      <c r="B157" s="7" t="n">
        <v>2022</v>
      </c>
      <c r="C157" s="7" t="n">
        <v>10429</v>
      </c>
      <c r="D157" s="7" t="n">
        <v>4915</v>
      </c>
      <c r="E157" s="7" t="n">
        <v>8519</v>
      </c>
      <c r="F157" s="7" t="n">
        <f aca="false">D157/C157</f>
        <v>0.471282002109502</v>
      </c>
      <c r="G157" s="7" t="n">
        <f aca="false">D157/C157*100</f>
        <v>47.1282002109502</v>
      </c>
      <c r="H157" s="7" t="n">
        <f aca="false">C157/INDEX($N$3:$N$7,MATCH(B157,$M$3:$M$7,0))*100</f>
        <v>2.26072592952275</v>
      </c>
      <c r="I157" s="7" t="n">
        <f aca="false">D157/INDEX($O$3:$O$7,MATCH(B157,$M$3:$M$7,0))*100</f>
        <v>2.9170697544676</v>
      </c>
      <c r="J157" s="7" t="s">
        <v>110</v>
      </c>
      <c r="K157" s="7"/>
    </row>
    <row r="158" customFormat="false" ht="15" hidden="false" customHeight="true" outlineLevel="0" collapsed="false">
      <c r="A158" s="7" t="s">
        <v>56</v>
      </c>
      <c r="B158" s="7" t="n">
        <v>2022</v>
      </c>
      <c r="C158" s="7" t="n">
        <v>2597</v>
      </c>
      <c r="D158" s="7" t="n">
        <v>1032</v>
      </c>
      <c r="E158" s="7" t="n">
        <v>4063</v>
      </c>
      <c r="F158" s="7" t="n">
        <f aca="false">D158/C158</f>
        <v>0.397381594147093</v>
      </c>
      <c r="G158" s="7" t="n">
        <f aca="false">D158/C158*100</f>
        <v>39.7381594147093</v>
      </c>
      <c r="H158" s="7" t="n">
        <f aca="false">C158/INDEX($N$3:$N$7,MATCH(B158,$M$3:$M$7,0))*100</f>
        <v>0.562959558823529</v>
      </c>
      <c r="I158" s="7" t="n">
        <f aca="false">D158/INDEX($O$3:$O$7,MATCH(B158,$M$3:$M$7,0))*100</f>
        <v>0.61249562291161</v>
      </c>
      <c r="J158" s="7" t="s">
        <v>110</v>
      </c>
      <c r="K158" s="7"/>
    </row>
    <row r="159" customFormat="false" ht="15" hidden="false" customHeight="true" outlineLevel="0" collapsed="false">
      <c r="A159" s="7" t="s">
        <v>57</v>
      </c>
      <c r="B159" s="7" t="n">
        <v>2022</v>
      </c>
      <c r="C159" s="7" t="n">
        <v>5175</v>
      </c>
      <c r="D159" s="7" t="n">
        <v>3898</v>
      </c>
      <c r="E159" s="7" t="n">
        <v>3747</v>
      </c>
      <c r="F159" s="7" t="n">
        <f aca="false">D159/C159</f>
        <v>0.753236714975845</v>
      </c>
      <c r="G159" s="7" t="n">
        <f aca="false">D159/C159*100</f>
        <v>75.3236714975845</v>
      </c>
      <c r="H159" s="7" t="n">
        <f aca="false">C159/INDEX($N$3:$N$7,MATCH(B159,$M$3:$M$7,0))*100</f>
        <v>1.12180043007769</v>
      </c>
      <c r="I159" s="7" t="n">
        <f aca="false">D159/INDEX($O$3:$O$7,MATCH(B159,$M$3:$M$7,0))*100</f>
        <v>2.31347668421459</v>
      </c>
      <c r="J159" s="7" t="s">
        <v>110</v>
      </c>
      <c r="K159" s="7"/>
    </row>
    <row r="160" customFormat="false" ht="15" hidden="false" customHeight="true" outlineLevel="0" collapsed="false">
      <c r="A160" s="7" t="s">
        <v>58</v>
      </c>
      <c r="B160" s="7" t="n">
        <v>2022</v>
      </c>
      <c r="C160" s="7" t="n">
        <v>39762</v>
      </c>
      <c r="D160" s="7" t="n">
        <v>11702</v>
      </c>
      <c r="E160" s="7" t="n">
        <v>48154</v>
      </c>
      <c r="F160" s="7" t="n">
        <f aca="false">D160/C160</f>
        <v>0.294301091494392</v>
      </c>
      <c r="G160" s="7" t="n">
        <f aca="false">D160/C160*100</f>
        <v>29.4301091494392</v>
      </c>
      <c r="H160" s="7" t="n">
        <f aca="false">C160/INDEX($N$3:$N$7,MATCH(B160,$M$3:$M$7,0))*100</f>
        <v>8.61932921753607</v>
      </c>
      <c r="I160" s="7" t="n">
        <f aca="false">D160/INDEX($O$3:$O$7,MATCH(B160,$M$3:$M$7,0))*100</f>
        <v>6.94517808072835</v>
      </c>
      <c r="J160" s="7" t="s">
        <v>110</v>
      </c>
      <c r="K160" s="7"/>
    </row>
    <row r="161" customFormat="false" ht="15" hidden="false" customHeight="true" outlineLevel="0" collapsed="false">
      <c r="A161" s="7" t="s">
        <v>59</v>
      </c>
      <c r="B161" s="7" t="n">
        <v>2022</v>
      </c>
      <c r="C161" s="7" t="n">
        <v>43910</v>
      </c>
      <c r="D161" s="7" t="n">
        <v>4317</v>
      </c>
      <c r="E161" s="7" t="n">
        <v>49307</v>
      </c>
      <c r="F161" s="7" t="n">
        <f aca="false">D161/C161</f>
        <v>0.0983147346845821</v>
      </c>
      <c r="G161" s="7" t="n">
        <f aca="false">D161/C161*100</f>
        <v>9.83147346845821</v>
      </c>
      <c r="H161" s="7" t="n">
        <f aca="false">C161/INDEX($N$3:$N$7,MATCH(B161,$M$3:$M$7,0))*100</f>
        <v>9.51850374583796</v>
      </c>
      <c r="I161" s="7" t="n">
        <f aca="false">D161/INDEX($O$3:$O$7,MATCH(B161,$M$3:$M$7,0))*100</f>
        <v>2.56215465514479</v>
      </c>
      <c r="J161" s="7" t="s">
        <v>110</v>
      </c>
      <c r="K161" s="7"/>
    </row>
    <row r="162" customFormat="false" ht="15" hidden="false" customHeight="true" outlineLevel="0" collapsed="false">
      <c r="A162" s="7" t="s">
        <v>60</v>
      </c>
      <c r="B162" s="7" t="n">
        <v>2022</v>
      </c>
      <c r="C162" s="7" t="n">
        <v>54432</v>
      </c>
      <c r="D162" s="7" t="n">
        <v>13427</v>
      </c>
      <c r="E162" s="7" t="n">
        <v>55168</v>
      </c>
      <c r="F162" s="7" t="n">
        <f aca="false">D162/C162</f>
        <v>0.246674750146972</v>
      </c>
      <c r="G162" s="7" t="n">
        <f aca="false">D162/C162*100</f>
        <v>24.6674750146972</v>
      </c>
      <c r="H162" s="7" t="n">
        <f aca="false">C162/INDEX($N$3:$N$7,MATCH(B162,$M$3:$M$7,0))*100</f>
        <v>11.7993895671476</v>
      </c>
      <c r="I162" s="7" t="n">
        <f aca="false">D162/INDEX($O$3:$O$7,MATCH(B162,$M$3:$M$7,0))*100</f>
        <v>7.96897163646723</v>
      </c>
      <c r="J162" s="7" t="s">
        <v>110</v>
      </c>
      <c r="K162" s="7"/>
    </row>
    <row r="163" customFormat="false" ht="15" hidden="false" customHeight="true" outlineLevel="0" collapsed="false">
      <c r="A163" s="7" t="s">
        <v>61</v>
      </c>
      <c r="B163" s="7" t="n">
        <v>2022</v>
      </c>
      <c r="C163" s="7" t="n">
        <v>33383</v>
      </c>
      <c r="D163" s="7" t="n">
        <v>15224</v>
      </c>
      <c r="E163" s="7" t="n">
        <v>27239</v>
      </c>
      <c r="F163" s="7" t="n">
        <f aca="false">D163/C163</f>
        <v>0.456040499655513</v>
      </c>
      <c r="G163" s="7" t="n">
        <f aca="false">D163/C163*100</f>
        <v>45.6040499655513</v>
      </c>
      <c r="H163" s="7" t="n">
        <f aca="false">C163/INDEX($N$3:$N$7,MATCH(B163,$M$3:$M$7,0))*100</f>
        <v>7.23653405937847</v>
      </c>
      <c r="I163" s="7" t="n">
        <f aca="false">D163/INDEX($O$3:$O$7,MATCH(B163,$M$3:$M$7,0))*100</f>
        <v>9.03549744496739</v>
      </c>
      <c r="J163" s="7" t="s">
        <v>110</v>
      </c>
      <c r="K163" s="7"/>
    </row>
    <row r="164" customFormat="false" ht="15" hidden="false" customHeight="true" outlineLevel="0" collapsed="false">
      <c r="A164" s="7" t="s">
        <v>62</v>
      </c>
      <c r="B164" s="7" t="n">
        <v>2022</v>
      </c>
      <c r="C164" s="7" t="n">
        <v>508</v>
      </c>
      <c r="D164" s="7" t="n">
        <v>127</v>
      </c>
      <c r="E164" s="7" t="n">
        <v>817</v>
      </c>
      <c r="F164" s="7" t="n">
        <f aca="false">D164/C164</f>
        <v>0.25</v>
      </c>
      <c r="G164" s="7" t="n">
        <f aca="false">D164/C164*100</f>
        <v>25</v>
      </c>
      <c r="H164" s="7" t="n">
        <f aca="false">C164/INDEX($N$3:$N$7,MATCH(B164,$M$3:$M$7,0))*100</f>
        <v>0.110120699223085</v>
      </c>
      <c r="I164" s="7" t="n">
        <f aca="false">D164/INDEX($O$3:$O$7,MATCH(B164,$M$3:$M$7,0))*100</f>
        <v>0.0753749458428047</v>
      </c>
      <c r="J164" s="7" t="s">
        <v>110</v>
      </c>
      <c r="K164" s="7"/>
    </row>
    <row r="165" customFormat="false" ht="15" hidden="false" customHeight="true" outlineLevel="0" collapsed="false">
      <c r="A165" s="7" t="s">
        <v>63</v>
      </c>
      <c r="B165" s="7" t="n">
        <v>2022</v>
      </c>
      <c r="C165" s="7" t="n">
        <v>246</v>
      </c>
      <c r="D165" s="7" t="n">
        <v>162</v>
      </c>
      <c r="E165" s="7" t="n">
        <v>310</v>
      </c>
      <c r="F165" s="7" t="n">
        <f aca="false">D165/C165</f>
        <v>0.658536585365854</v>
      </c>
      <c r="G165" s="7" t="n">
        <f aca="false">D165/C165*100</f>
        <v>65.8536585365854</v>
      </c>
      <c r="H165" s="7" t="n">
        <f aca="false">C165/INDEX($N$3:$N$7,MATCH(B165,$M$3:$M$7,0))*100</f>
        <v>0.0533261653718091</v>
      </c>
      <c r="I165" s="7" t="n">
        <f aca="false">D165/INDEX($O$3:$O$7,MATCH(B165,$M$3:$M$7,0))*100</f>
        <v>0.0961475687128689</v>
      </c>
      <c r="J165" s="7" t="s">
        <v>110</v>
      </c>
      <c r="K165" s="7"/>
    </row>
    <row r="166" customFormat="false" ht="15" hidden="false" customHeight="true" outlineLevel="0" collapsed="false">
      <c r="A166" s="7" t="s">
        <v>64</v>
      </c>
      <c r="B166" s="7" t="n">
        <v>2022</v>
      </c>
      <c r="C166" s="7" t="n">
        <v>133</v>
      </c>
      <c r="D166" s="7" t="n">
        <v>113</v>
      </c>
      <c r="E166" s="7" t="n">
        <v>107</v>
      </c>
      <c r="F166" s="7" t="n">
        <f aca="false">D166/C166</f>
        <v>0.849624060150376</v>
      </c>
      <c r="G166" s="7" t="n">
        <f aca="false">D166/C166*100</f>
        <v>84.9624060150376</v>
      </c>
      <c r="H166" s="7" t="n">
        <f aca="false">C166/INDEX($N$3:$N$7,MATCH(B166,$M$3:$M$7,0))*100</f>
        <v>0.0288308129855716</v>
      </c>
      <c r="I166" s="7" t="n">
        <f aca="false">D166/INDEX($O$3:$O$7,MATCH(B166,$M$3:$M$7,0))*100</f>
        <v>0.067065896694779</v>
      </c>
      <c r="J166" s="7" t="s">
        <v>110</v>
      </c>
      <c r="K166" s="7"/>
    </row>
    <row r="167" customFormat="false" ht="15" hidden="false" customHeight="true" outlineLevel="0" collapsed="false">
      <c r="A167" s="7" t="s">
        <v>65</v>
      </c>
      <c r="B167" s="7" t="n">
        <v>2022</v>
      </c>
      <c r="C167" s="7" t="n">
        <v>489</v>
      </c>
      <c r="D167" s="7" t="n">
        <v>73</v>
      </c>
      <c r="E167" s="7" t="n">
        <v>291</v>
      </c>
      <c r="F167" s="7" t="n">
        <f aca="false">D167/C167</f>
        <v>0.149284253578732</v>
      </c>
      <c r="G167" s="7" t="n">
        <f aca="false">D167/C167*100</f>
        <v>14.9284253578732</v>
      </c>
      <c r="H167" s="7" t="n">
        <f aca="false">C167/INDEX($N$3:$N$7,MATCH(B167,$M$3:$M$7,0))*100</f>
        <v>0.106002011653718</v>
      </c>
      <c r="I167" s="7" t="n">
        <f aca="false">D167/INDEX($O$3:$O$7,MATCH(B167,$M$3:$M$7,0))*100</f>
        <v>0.0433257562718484</v>
      </c>
      <c r="J167" s="7" t="s">
        <v>110</v>
      </c>
      <c r="K167" s="7"/>
    </row>
    <row r="168" customFormat="false" ht="15" hidden="false" customHeight="true" outlineLevel="0" collapsed="false">
      <c r="A168" s="7" t="s">
        <v>66</v>
      </c>
      <c r="B168" s="7" t="n">
        <v>2022</v>
      </c>
      <c r="C168" s="7" t="n">
        <v>11663</v>
      </c>
      <c r="D168" s="7" t="n">
        <v>5467</v>
      </c>
      <c r="E168" s="7" t="n">
        <v>10302</v>
      </c>
      <c r="F168" s="7" t="n">
        <f aca="false">D168/C168</f>
        <v>0.46874732058647</v>
      </c>
      <c r="G168" s="7" t="n">
        <f aca="false">D168/C168*100</f>
        <v>46.874732058647</v>
      </c>
      <c r="H168" s="7" t="n">
        <f aca="false">C168/INDEX($N$3:$N$7,MATCH(B168,$M$3:$M$7,0))*100</f>
        <v>2.52822384850166</v>
      </c>
      <c r="I168" s="7" t="n">
        <f aca="false">D168/INDEX($O$3:$O$7,MATCH(B168,$M$3:$M$7,0))*100</f>
        <v>3.24468369230404</v>
      </c>
      <c r="J168" s="7" t="s">
        <v>110</v>
      </c>
      <c r="K168" s="7"/>
    </row>
    <row r="169" customFormat="false" ht="15" hidden="false" customHeight="true" outlineLevel="0" collapsed="false">
      <c r="A169" s="7" t="s">
        <v>67</v>
      </c>
      <c r="B169" s="7" t="n">
        <v>2022</v>
      </c>
      <c r="C169" s="7" t="n">
        <v>6138</v>
      </c>
      <c r="D169" s="7" t="n">
        <v>4756</v>
      </c>
      <c r="E169" s="7" t="n">
        <v>3324</v>
      </c>
      <c r="F169" s="7" t="n">
        <f aca="false">D169/C169</f>
        <v>0.77484522645813</v>
      </c>
      <c r="G169" s="7" t="n">
        <f aca="false">D169/C169*100</f>
        <v>77.484522645813</v>
      </c>
      <c r="H169" s="7" t="n">
        <f aca="false">C169/INDEX($N$3:$N$7,MATCH(B169,$M$3:$M$7,0))*100</f>
        <v>1.33055285793563</v>
      </c>
      <c r="I169" s="7" t="n">
        <f aca="false">D169/INDEX($O$3:$O$7,MATCH(B169,$M$3:$M$7,0))*100</f>
        <v>2.82270269628645</v>
      </c>
      <c r="J169" s="7" t="s">
        <v>110</v>
      </c>
      <c r="K169" s="7"/>
    </row>
    <row r="170" customFormat="false" ht="15" hidden="false" customHeight="true" outlineLevel="0" collapsed="false">
      <c r="A170" s="7" t="s">
        <v>68</v>
      </c>
      <c r="B170" s="7" t="n">
        <v>2022</v>
      </c>
      <c r="C170" s="7" t="n">
        <v>23614</v>
      </c>
      <c r="D170" s="7" t="n">
        <v>11104</v>
      </c>
      <c r="E170" s="7" t="n">
        <v>22293</v>
      </c>
      <c r="F170" s="7" t="n">
        <f aca="false">D170/C170</f>
        <v>0.470229524858135</v>
      </c>
      <c r="G170" s="7" t="n">
        <f aca="false">D170/C170*100</f>
        <v>47.0229524858135</v>
      </c>
      <c r="H170" s="7" t="n">
        <f aca="false">C170/INDEX($N$3:$N$7,MATCH(B170,$M$3:$M$7,0))*100</f>
        <v>5.11887832963374</v>
      </c>
      <c r="I170" s="7" t="n">
        <f aca="false">D170/INDEX($O$3:$O$7,MATCH(B170,$M$3:$M$7,0))*100</f>
        <v>6.59026298140554</v>
      </c>
      <c r="J170" s="7" t="s">
        <v>110</v>
      </c>
      <c r="K170" s="7"/>
    </row>
    <row r="171" customFormat="false" ht="15" hidden="false" customHeight="true" outlineLevel="0" collapsed="false">
      <c r="A171" s="7" t="s">
        <v>69</v>
      </c>
      <c r="B171" s="7" t="n">
        <v>2022</v>
      </c>
      <c r="C171" s="7" t="n">
        <v>211</v>
      </c>
      <c r="D171" s="7" t="n">
        <v>92</v>
      </c>
      <c r="E171" s="7" t="n">
        <v>354</v>
      </c>
      <c r="F171" s="7" t="n">
        <f aca="false">D171/C171</f>
        <v>0.436018957345972</v>
      </c>
      <c r="G171" s="7" t="n">
        <f aca="false">D171/C171*100</f>
        <v>43.6018957345972</v>
      </c>
      <c r="H171" s="7" t="n">
        <f aca="false">C171/INDEX($N$3:$N$7,MATCH(B171,$M$3:$M$7,0))*100</f>
        <v>0.0457391093229745</v>
      </c>
      <c r="I171" s="7" t="n">
        <f aca="false">D171/INDEX($O$3:$O$7,MATCH(B171,$M$3:$M$7,0))*100</f>
        <v>0.0546023229727404</v>
      </c>
      <c r="J171" s="7" t="s">
        <v>110</v>
      </c>
      <c r="K171" s="7"/>
    </row>
    <row r="172" customFormat="false" ht="15" hidden="false" customHeight="true" outlineLevel="0" collapsed="false">
      <c r="A172" s="7" t="s">
        <v>70</v>
      </c>
      <c r="B172" s="7" t="n">
        <v>2022</v>
      </c>
      <c r="C172" s="7" t="n">
        <v>64105</v>
      </c>
      <c r="D172" s="7" t="n">
        <v>17884</v>
      </c>
      <c r="E172" s="7" t="n">
        <v>67703</v>
      </c>
      <c r="F172" s="7" t="n">
        <f aca="false">D172/C172</f>
        <v>0.278979798767647</v>
      </c>
      <c r="G172" s="7" t="n">
        <f aca="false">D172/C172*100</f>
        <v>27.8979798767647</v>
      </c>
      <c r="H172" s="7" t="n">
        <f aca="false">C172/INDEX($N$3:$N$7,MATCH(B172,$M$3:$M$7,0))*100</f>
        <v>13.8962350860155</v>
      </c>
      <c r="I172" s="7" t="n">
        <f aca="false">D172/INDEX($O$3:$O$7,MATCH(B172,$M$3:$M$7,0))*100</f>
        <v>10.6142167830923</v>
      </c>
      <c r="J172" s="7" t="s">
        <v>110</v>
      </c>
      <c r="K172" s="7"/>
    </row>
    <row r="173" customFormat="false" ht="15" hidden="false" customHeight="true" outlineLevel="0" collapsed="false">
      <c r="A173" s="7" t="s">
        <v>71</v>
      </c>
      <c r="B173" s="7" t="n">
        <v>2022</v>
      </c>
      <c r="C173" s="7" t="n">
        <v>21619</v>
      </c>
      <c r="D173" s="7" t="n">
        <v>7559</v>
      </c>
      <c r="E173" s="7" t="n">
        <v>20209</v>
      </c>
      <c r="F173" s="7" t="n">
        <f aca="false">D173/C173</f>
        <v>0.349646144595032</v>
      </c>
      <c r="G173" s="7" t="n">
        <f aca="false">D173/C173*100</f>
        <v>34.9646144595032</v>
      </c>
      <c r="H173" s="7" t="n">
        <f aca="false">C173/INDEX($N$3:$N$7,MATCH(B173,$M$3:$M$7,0))*100</f>
        <v>4.68641613485017</v>
      </c>
      <c r="I173" s="7" t="n">
        <f aca="false">D173/INDEX($O$3:$O$7,MATCH(B173,$M$3:$M$7,0))*100</f>
        <v>4.48629303642331</v>
      </c>
      <c r="J173" s="7" t="s">
        <v>110</v>
      </c>
      <c r="K173" s="7"/>
    </row>
    <row r="174" customFormat="false" ht="15" hidden="false" customHeight="true" outlineLevel="0" collapsed="false">
      <c r="A174" s="7" t="s">
        <v>72</v>
      </c>
      <c r="B174" s="7" t="n">
        <v>2022</v>
      </c>
      <c r="C174" s="7" t="n">
        <v>575</v>
      </c>
      <c r="D174" s="7" t="n">
        <v>241</v>
      </c>
      <c r="E174" s="7" t="n">
        <v>541</v>
      </c>
      <c r="F174" s="7" t="n">
        <f aca="false">D174/C174</f>
        <v>0.419130434782609</v>
      </c>
      <c r="G174" s="7" t="n">
        <f aca="false">D174/C174*100</f>
        <v>41.9130434782609</v>
      </c>
      <c r="H174" s="7" t="n">
        <f aca="false">C174/INDEX($N$3:$N$7,MATCH(B174,$M$3:$M$7,0))*100</f>
        <v>0.124644492230855</v>
      </c>
      <c r="I174" s="7" t="n">
        <f aca="false">D174/INDEX($O$3:$O$7,MATCH(B174,$M$3:$M$7,0))*100</f>
        <v>0.143034346048157</v>
      </c>
      <c r="J174" s="7" t="s">
        <v>110</v>
      </c>
      <c r="K174" s="7"/>
    </row>
    <row r="175" customFormat="false" ht="15" hidden="false" customHeight="true" outlineLevel="0" collapsed="false">
      <c r="A175" s="7" t="s">
        <v>73</v>
      </c>
      <c r="B175" s="7" t="n">
        <v>2022</v>
      </c>
      <c r="C175" s="7" t="n">
        <v>1674</v>
      </c>
      <c r="D175" s="7" t="n">
        <v>1042</v>
      </c>
      <c r="E175" s="7" t="n">
        <v>1613</v>
      </c>
      <c r="F175" s="7" t="n">
        <f aca="false">D175/C175</f>
        <v>0.622461170848268</v>
      </c>
      <c r="G175" s="7" t="n">
        <f aca="false">D175/C175*100</f>
        <v>62.2461170848268</v>
      </c>
      <c r="H175" s="7" t="n">
        <f aca="false">C175/INDEX($N$3:$N$7,MATCH(B175,$M$3:$M$7,0))*100</f>
        <v>0.362878052164262</v>
      </c>
      <c r="I175" s="7" t="n">
        <f aca="false">D175/INDEX($O$3:$O$7,MATCH(B175,$M$3:$M$7,0))*100</f>
        <v>0.618430658017342</v>
      </c>
      <c r="J175" s="7" t="s">
        <v>110</v>
      </c>
      <c r="K175" s="7"/>
    </row>
    <row r="176" customFormat="false" ht="15" hidden="false" customHeight="true" outlineLevel="0" collapsed="false">
      <c r="A176" s="7" t="s">
        <v>74</v>
      </c>
      <c r="B176" s="7" t="n">
        <v>2022</v>
      </c>
      <c r="C176" s="7" t="n">
        <v>41746</v>
      </c>
      <c r="D176" s="7" t="n">
        <v>22595</v>
      </c>
      <c r="E176" s="7" t="n">
        <v>28541</v>
      </c>
      <c r="F176" s="7" t="n">
        <f aca="false">D176/C176</f>
        <v>0.541249461026206</v>
      </c>
      <c r="G176" s="7" t="n">
        <f aca="false">D176/C176*100</f>
        <v>54.1249461026206</v>
      </c>
      <c r="H176" s="7" t="n">
        <f aca="false">C176/INDEX($N$3:$N$7,MATCH(B176,$M$3:$M$7,0))*100</f>
        <v>9.04940690899001</v>
      </c>
      <c r="I176" s="7" t="n">
        <f aca="false">D176/INDEX($O$3:$O$7,MATCH(B176,$M$3:$M$7,0))*100</f>
        <v>13.4102118214029</v>
      </c>
      <c r="J176" s="7" t="s">
        <v>110</v>
      </c>
      <c r="K176" s="7"/>
    </row>
    <row r="177" customFormat="false" ht="15" hidden="false" customHeight="true" outlineLevel="0" collapsed="false">
      <c r="A177" s="7" t="s">
        <v>75</v>
      </c>
      <c r="B177" s="7" t="n">
        <v>2022</v>
      </c>
      <c r="C177" s="7" t="n">
        <v>13686</v>
      </c>
      <c r="D177" s="7" t="n">
        <v>6002</v>
      </c>
      <c r="E177" s="7" t="n">
        <v>12843</v>
      </c>
      <c r="F177" s="7" t="n">
        <f aca="false">D177/C177</f>
        <v>0.43855034341663</v>
      </c>
      <c r="G177" s="7" t="n">
        <f aca="false">D177/C177*100</f>
        <v>43.855034341663</v>
      </c>
      <c r="H177" s="7" t="n">
        <f aca="false">C177/INDEX($N$3:$N$7,MATCH(B177,$M$3:$M$7,0))*100</f>
        <v>2.96675568812431</v>
      </c>
      <c r="I177" s="7" t="n">
        <f aca="false">D177/INDEX($O$3:$O$7,MATCH(B177,$M$3:$M$7,0))*100</f>
        <v>3.56220807046074</v>
      </c>
      <c r="J177" s="7" t="s">
        <v>110</v>
      </c>
      <c r="K177" s="7"/>
    </row>
    <row r="178" customFormat="false" ht="15" hidden="false" customHeight="true" outlineLevel="0" collapsed="false">
      <c r="A178" s="7" t="s">
        <v>76</v>
      </c>
      <c r="B178" s="7" t="n">
        <v>2022</v>
      </c>
      <c r="C178" s="7" t="n">
        <v>141</v>
      </c>
      <c r="D178" s="7" t="n">
        <v>19</v>
      </c>
      <c r="E178" s="7" t="n">
        <v>136</v>
      </c>
      <c r="F178" s="7" t="n">
        <f aca="false">D178/C178</f>
        <v>0.134751773049645</v>
      </c>
      <c r="G178" s="7" t="n">
        <f aca="false">D178/C178*100</f>
        <v>13.4751773049645</v>
      </c>
      <c r="H178" s="7" t="n">
        <f aca="false">C178/INDEX($N$3:$N$7,MATCH(B178,$M$3:$M$7,0))*100</f>
        <v>0.0305649972253052</v>
      </c>
      <c r="I178" s="7" t="n">
        <f aca="false">D178/INDEX($O$3:$O$7,MATCH(B178,$M$3:$M$7,0))*100</f>
        <v>0.011276566700892</v>
      </c>
      <c r="J178" s="7" t="s">
        <v>110</v>
      </c>
      <c r="K178" s="7"/>
    </row>
    <row r="179" customFormat="false" ht="15" hidden="false" customHeight="true" outlineLevel="0" collapsed="false">
      <c r="A179" s="7" t="s">
        <v>77</v>
      </c>
      <c r="B179" s="7" t="n">
        <v>2022</v>
      </c>
      <c r="C179" s="7" t="n">
        <v>237</v>
      </c>
      <c r="D179" s="7" t="n">
        <v>83</v>
      </c>
      <c r="E179" s="7" t="n">
        <v>203</v>
      </c>
      <c r="F179" s="7" t="n">
        <f aca="false">D179/C179</f>
        <v>0.350210970464135</v>
      </c>
      <c r="G179" s="7" t="n">
        <f aca="false">D179/C179*100</f>
        <v>35.0210970464135</v>
      </c>
      <c r="H179" s="7" t="n">
        <f aca="false">C179/INDEX($N$3:$N$7,MATCH(B179,$M$3:$M$7,0))*100</f>
        <v>0.0513752081021088</v>
      </c>
      <c r="I179" s="7" t="n">
        <f aca="false">D179/INDEX($O$3:$O$7,MATCH(B179,$M$3:$M$7,0))*100</f>
        <v>0.049260791377581</v>
      </c>
      <c r="J179" s="7" t="s">
        <v>110</v>
      </c>
      <c r="K179" s="7"/>
    </row>
    <row r="180" customFormat="false" ht="15" hidden="false" customHeight="true" outlineLevel="0" collapsed="false">
      <c r="A180" s="7" t="s">
        <v>93</v>
      </c>
      <c r="B180" s="7" t="n">
        <v>2022</v>
      </c>
      <c r="C180" s="7" t="n">
        <v>196</v>
      </c>
      <c r="D180" s="7" t="n">
        <v>90</v>
      </c>
      <c r="E180" s="7" t="n">
        <v>273</v>
      </c>
      <c r="F180" s="7" t="n">
        <f aca="false">D180/C180</f>
        <v>0.459183673469388</v>
      </c>
      <c r="G180" s="7" t="n">
        <f aca="false">D180/C180*100</f>
        <v>45.9183673469388</v>
      </c>
      <c r="H180" s="7" t="n">
        <f aca="false">C180/INDEX($N$3:$N$7,MATCH(B180,$M$3:$M$7,0))*100</f>
        <v>0.0424875138734739</v>
      </c>
      <c r="I180" s="7" t="n">
        <f aca="false">D180/INDEX($O$3:$O$7,MATCH(B180,$M$3:$M$7,0))*100</f>
        <v>0.0534153159515939</v>
      </c>
      <c r="J180" s="7" t="s">
        <v>110</v>
      </c>
      <c r="K180" s="7" t="s">
        <v>115</v>
      </c>
    </row>
    <row r="181" customFormat="false" ht="15" hidden="false" customHeight="true" outlineLevel="0" collapsed="false">
      <c r="A181" s="7" t="s">
        <v>80</v>
      </c>
      <c r="B181" s="7" t="n">
        <v>2022</v>
      </c>
      <c r="C181" s="7" t="n">
        <v>5652</v>
      </c>
      <c r="D181" s="7" t="n">
        <v>1461</v>
      </c>
      <c r="E181" s="7" t="n">
        <v>5201</v>
      </c>
      <c r="F181" s="7" t="n">
        <f aca="false">D181/C181</f>
        <v>0.258492569002123</v>
      </c>
      <c r="G181" s="7" t="n">
        <f aca="false">D181/C181*100</f>
        <v>25.8492569002123</v>
      </c>
      <c r="H181" s="7" t="n">
        <f aca="false">C181/INDEX($N$3:$N$7,MATCH(B181,$M$3:$M$7,0))*100</f>
        <v>1.22520116537181</v>
      </c>
      <c r="I181" s="7" t="n">
        <f aca="false">D181/INDEX($O$3:$O$7,MATCH(B181,$M$3:$M$7,0))*100</f>
        <v>0.86710862894754</v>
      </c>
      <c r="J181" s="7" t="s">
        <v>110</v>
      </c>
      <c r="K181" s="7"/>
    </row>
    <row r="182" customFormat="false" ht="15" hidden="false" customHeight="true" outlineLevel="0" collapsed="false">
      <c r="A182" s="7" t="s">
        <v>81</v>
      </c>
      <c r="B182" s="7" t="n">
        <v>2022</v>
      </c>
      <c r="C182" s="7" t="n">
        <v>6092</v>
      </c>
      <c r="D182" s="7" t="n">
        <v>805</v>
      </c>
      <c r="E182" s="7" t="n">
        <v>8372</v>
      </c>
      <c r="F182" s="7" t="n">
        <f aca="false">D182/C182</f>
        <v>0.132140512147078</v>
      </c>
      <c r="G182" s="7" t="n">
        <f aca="false">D182/C182*100</f>
        <v>13.2140512147078</v>
      </c>
      <c r="H182" s="7" t="n">
        <f aca="false">C182/INDEX($N$3:$N$7,MATCH(B182,$M$3:$M$7,0))*100</f>
        <v>1.32058129855716</v>
      </c>
      <c r="I182" s="7" t="n">
        <f aca="false">D182/INDEX($O$3:$O$7,MATCH(B182,$M$3:$M$7,0))*100</f>
        <v>0.477770326011478</v>
      </c>
      <c r="J182" s="7" t="s">
        <v>110</v>
      </c>
      <c r="K182" s="7"/>
    </row>
    <row r="183" customFormat="false" ht="15" hidden="false" customHeight="true" outlineLevel="0" collapsed="false">
      <c r="A183" s="7" t="s">
        <v>82</v>
      </c>
      <c r="B183" s="7" t="n">
        <v>2022</v>
      </c>
      <c r="C183" s="7" t="n">
        <v>374</v>
      </c>
      <c r="D183" s="7" t="n">
        <v>62</v>
      </c>
      <c r="E183" s="7" t="n">
        <v>346</v>
      </c>
      <c r="F183" s="7" t="n">
        <f aca="false">D183/C183</f>
        <v>0.165775401069519</v>
      </c>
      <c r="G183" s="7" t="n">
        <f aca="false">D183/C183*100</f>
        <v>16.5775401069519</v>
      </c>
      <c r="H183" s="7" t="n">
        <f aca="false">C183/INDEX($N$3:$N$7,MATCH(B183,$M$3:$M$7,0))*100</f>
        <v>0.0810731132075472</v>
      </c>
      <c r="I183" s="7" t="n">
        <f aca="false">D183/INDEX($O$3:$O$7,MATCH(B183,$M$3:$M$7,0))*100</f>
        <v>0.0367972176555424</v>
      </c>
      <c r="J183" s="7" t="s">
        <v>110</v>
      </c>
      <c r="K183" s="7" t="s">
        <v>116</v>
      </c>
    </row>
    <row r="184" customFormat="false" ht="15" hidden="false" customHeight="true" outlineLevel="0" collapsed="false">
      <c r="A184" s="7" t="s">
        <v>83</v>
      </c>
      <c r="B184" s="7" t="n">
        <v>2022</v>
      </c>
      <c r="C184" s="7" t="n">
        <v>3</v>
      </c>
      <c r="D184" s="7" t="n">
        <v>2</v>
      </c>
      <c r="E184" s="7" t="n">
        <v>2</v>
      </c>
      <c r="F184" s="7" t="n">
        <f aca="false">D184/C184</f>
        <v>0.666666666666667</v>
      </c>
      <c r="G184" s="7" t="n">
        <f aca="false">D184/C184*100</f>
        <v>66.6666666666667</v>
      </c>
      <c r="H184" s="7" t="n">
        <f aca="false">C184/INDEX($N$3:$N$7,MATCH(B184,$M$3:$M$7,0))*100</f>
        <v>0.000650319089900111</v>
      </c>
      <c r="I184" s="7" t="n">
        <f aca="false">D184/INDEX($O$3:$O$7,MATCH(B184,$M$3:$M$7,0))*100</f>
        <v>0.00118700702114653</v>
      </c>
      <c r="J184" s="7" t="s">
        <v>110</v>
      </c>
      <c r="K184" s="7"/>
    </row>
    <row r="185" customFormat="false" ht="15" hidden="false" customHeight="true" outlineLevel="0" collapsed="false">
      <c r="A185" s="7" t="s">
        <v>84</v>
      </c>
      <c r="B185" s="7" t="n">
        <v>2022</v>
      </c>
      <c r="C185" s="7" t="n">
        <v>1181</v>
      </c>
      <c r="D185" s="7" t="n">
        <v>181</v>
      </c>
      <c r="E185" s="7" t="n">
        <v>1282</v>
      </c>
      <c r="F185" s="7" t="n">
        <f aca="false">D185/C185</f>
        <v>0.153259949195597</v>
      </c>
      <c r="G185" s="7" t="n">
        <f aca="false">D185/C185*100</f>
        <v>15.3259949195597</v>
      </c>
      <c r="H185" s="7" t="n">
        <f aca="false">C185/INDEX($N$3:$N$7,MATCH(B185,$M$3:$M$7,0))*100</f>
        <v>0.256008948390677</v>
      </c>
      <c r="I185" s="7" t="n">
        <f aca="false">D185/INDEX($O$3:$O$7,MATCH(B185,$M$3:$M$7,0))*100</f>
        <v>0.107424135413761</v>
      </c>
      <c r="J185" s="7" t="s">
        <v>110</v>
      </c>
      <c r="K18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22"/>
    <col collapsed="false" customWidth="true" hidden="false" outlineLevel="0" max="9" min="9" style="1" width="30"/>
    <col collapsed="false" customWidth="true" hidden="false" outlineLevel="0" max="10" min="10" style="1" width="22"/>
  </cols>
  <sheetData>
    <row r="1" customFormat="false" ht="15.75" hidden="false" customHeight="true" outlineLevel="0" collapsed="false">
      <c r="A1" s="2" t="s">
        <v>117</v>
      </c>
    </row>
    <row r="3" customFormat="false" ht="15" hidden="false" customHeight="true" outlineLevel="0" collapsed="false">
      <c r="A3" s="6" t="s">
        <v>118</v>
      </c>
      <c r="B3" s="6" t="s">
        <v>119</v>
      </c>
      <c r="C3" s="6" t="s">
        <v>120</v>
      </c>
      <c r="D3" s="6" t="s">
        <v>121</v>
      </c>
      <c r="E3" s="6" t="s">
        <v>122</v>
      </c>
      <c r="F3" s="6" t="s">
        <v>123</v>
      </c>
      <c r="G3" s="6" t="s">
        <v>124</v>
      </c>
      <c r="H3" s="6" t="s">
        <v>125</v>
      </c>
      <c r="I3" s="6" t="s">
        <v>126</v>
      </c>
      <c r="J3" s="6" t="s">
        <v>127</v>
      </c>
    </row>
    <row r="4" customFormat="false" ht="43.5" hidden="false" customHeight="true" outlineLevel="0" collapsed="false">
      <c r="A4" s="10" t="s">
        <v>100</v>
      </c>
      <c r="B4" s="10" t="s">
        <v>128</v>
      </c>
      <c r="C4" s="10" t="s">
        <v>129</v>
      </c>
      <c r="D4" s="10" t="s">
        <v>130</v>
      </c>
      <c r="E4" s="10" t="s">
        <v>131</v>
      </c>
      <c r="F4" s="10" t="s">
        <v>132</v>
      </c>
      <c r="G4" s="10" t="s">
        <v>133</v>
      </c>
      <c r="H4" s="10" t="s">
        <v>134</v>
      </c>
      <c r="I4" s="10" t="s">
        <v>135</v>
      </c>
      <c r="J4" s="10" t="s">
        <v>136</v>
      </c>
    </row>
    <row r="5" customFormat="false" ht="43.5" hidden="false" customHeight="true" outlineLevel="0" collapsed="false">
      <c r="A5" s="10" t="s">
        <v>97</v>
      </c>
      <c r="B5" s="10" t="s">
        <v>137</v>
      </c>
      <c r="C5" s="10" t="s">
        <v>138</v>
      </c>
      <c r="D5" s="10" t="s">
        <v>139</v>
      </c>
      <c r="E5" s="10" t="s">
        <v>140</v>
      </c>
      <c r="F5" s="10" t="s">
        <v>132</v>
      </c>
      <c r="G5" s="10" t="s">
        <v>140</v>
      </c>
      <c r="H5" s="10" t="s">
        <v>140</v>
      </c>
      <c r="I5" s="10" t="s">
        <v>135</v>
      </c>
      <c r="J5" s="10" t="s">
        <v>136</v>
      </c>
    </row>
    <row r="6" customFormat="false" ht="43.5" hidden="false" customHeight="true" outlineLevel="0" collapsed="false">
      <c r="A6" s="10" t="s">
        <v>101</v>
      </c>
      <c r="B6" s="10" t="s">
        <v>141</v>
      </c>
      <c r="C6" s="10" t="s">
        <v>142</v>
      </c>
      <c r="D6" s="10" t="s">
        <v>139</v>
      </c>
      <c r="E6" s="10" t="s">
        <v>143</v>
      </c>
      <c r="F6" s="10" t="s">
        <v>144</v>
      </c>
      <c r="G6" s="10" t="s">
        <v>133</v>
      </c>
      <c r="H6" s="10" t="s">
        <v>145</v>
      </c>
      <c r="I6" s="10" t="s">
        <v>146</v>
      </c>
      <c r="J6" s="10" t="s">
        <v>147</v>
      </c>
    </row>
    <row r="7" customFormat="false" ht="43.5" hidden="false" customHeight="true" outlineLevel="0" collapsed="false">
      <c r="A7" s="10" t="s">
        <v>102</v>
      </c>
      <c r="B7" s="10" t="s">
        <v>148</v>
      </c>
      <c r="C7" s="10" t="s">
        <v>149</v>
      </c>
      <c r="D7" s="10" t="s">
        <v>139</v>
      </c>
      <c r="E7" s="10" t="s">
        <v>150</v>
      </c>
      <c r="F7" s="10" t="s">
        <v>151</v>
      </c>
      <c r="G7" s="10" t="s">
        <v>133</v>
      </c>
      <c r="H7" s="10" t="s">
        <v>152</v>
      </c>
      <c r="I7" s="10" t="s">
        <v>153</v>
      </c>
      <c r="J7" s="10" t="s">
        <v>147</v>
      </c>
    </row>
    <row r="8" customFormat="false" ht="43.5" hidden="false" customHeight="true" outlineLevel="0" collapsed="false">
      <c r="A8" s="10" t="s">
        <v>103</v>
      </c>
      <c r="B8" s="10" t="s">
        <v>154</v>
      </c>
      <c r="C8" s="10" t="s">
        <v>149</v>
      </c>
      <c r="D8" s="10" t="s">
        <v>139</v>
      </c>
      <c r="E8" s="10" t="s">
        <v>155</v>
      </c>
      <c r="F8" s="10" t="s">
        <v>156</v>
      </c>
      <c r="G8" s="10" t="s">
        <v>133</v>
      </c>
      <c r="H8" s="10" t="s">
        <v>157</v>
      </c>
      <c r="I8" s="10" t="s">
        <v>158</v>
      </c>
      <c r="J8" s="10" t="s">
        <v>159</v>
      </c>
    </row>
    <row r="9" customFormat="false" ht="43.5" hidden="false" customHeight="true" outlineLevel="0" collapsed="false">
      <c r="A9" s="10" t="s">
        <v>104</v>
      </c>
      <c r="B9" s="10" t="s">
        <v>160</v>
      </c>
      <c r="C9" s="10" t="s">
        <v>161</v>
      </c>
      <c r="D9" s="10" t="s">
        <v>162</v>
      </c>
      <c r="E9" s="10" t="s">
        <v>163</v>
      </c>
      <c r="F9" s="10" t="s">
        <v>164</v>
      </c>
      <c r="G9" s="10" t="s">
        <v>133</v>
      </c>
      <c r="H9" s="10" t="s">
        <v>163</v>
      </c>
      <c r="I9" s="10" t="s">
        <v>165</v>
      </c>
      <c r="J9" s="10" t="s">
        <v>166</v>
      </c>
    </row>
    <row r="10" customFormat="false" ht="43.5" hidden="false" customHeight="true" outlineLevel="0" collapsed="false">
      <c r="A10" s="10" t="s">
        <v>105</v>
      </c>
      <c r="B10" s="10" t="s">
        <v>167</v>
      </c>
      <c r="C10" s="10" t="s">
        <v>168</v>
      </c>
      <c r="D10" s="10" t="s">
        <v>162</v>
      </c>
      <c r="E10" s="10" t="s">
        <v>163</v>
      </c>
      <c r="F10" s="10" t="s">
        <v>164</v>
      </c>
      <c r="G10" s="10" t="s">
        <v>133</v>
      </c>
      <c r="H10" s="10" t="s">
        <v>163</v>
      </c>
      <c r="I10" s="10" t="s">
        <v>169</v>
      </c>
      <c r="J10" s="10" t="s">
        <v>166</v>
      </c>
    </row>
    <row r="11" customFormat="false" ht="43.5" hidden="false" customHeight="true" outlineLevel="0" collapsed="false">
      <c r="A11" s="10" t="s">
        <v>106</v>
      </c>
      <c r="B11" s="10" t="s">
        <v>170</v>
      </c>
      <c r="C11" s="10" t="s">
        <v>171</v>
      </c>
      <c r="D11" s="10" t="s">
        <v>162</v>
      </c>
      <c r="E11" s="10" t="s">
        <v>163</v>
      </c>
      <c r="F11" s="10" t="s">
        <v>132</v>
      </c>
      <c r="G11" s="10" t="s">
        <v>172</v>
      </c>
      <c r="H11" s="10" t="s">
        <v>163</v>
      </c>
      <c r="I11" s="10" t="s">
        <v>173</v>
      </c>
      <c r="J11" s="10" t="s">
        <v>174</v>
      </c>
    </row>
    <row r="12" customFormat="false" ht="43.5" hidden="false" customHeight="true" outlineLevel="0" collapsed="false">
      <c r="A12" s="10" t="s">
        <v>107</v>
      </c>
      <c r="B12" s="10" t="s">
        <v>175</v>
      </c>
      <c r="C12" s="10" t="s">
        <v>171</v>
      </c>
      <c r="D12" s="10" t="s">
        <v>162</v>
      </c>
      <c r="E12" s="10" t="s">
        <v>163</v>
      </c>
      <c r="F12" s="10" t="s">
        <v>132</v>
      </c>
      <c r="G12" s="10" t="s">
        <v>172</v>
      </c>
      <c r="H12" s="10" t="s">
        <v>163</v>
      </c>
      <c r="I12" s="10" t="s">
        <v>173</v>
      </c>
      <c r="J12" s="10" t="s">
        <v>176</v>
      </c>
    </row>
    <row r="13" customFormat="false" ht="43.5" hidden="false" customHeight="true" outlineLevel="0" collapsed="false">
      <c r="A13" s="10" t="s">
        <v>108</v>
      </c>
      <c r="B13" s="10" t="s">
        <v>177</v>
      </c>
      <c r="C13" s="10" t="s">
        <v>130</v>
      </c>
      <c r="D13" s="10" t="s">
        <v>129</v>
      </c>
      <c r="E13" s="10" t="s">
        <v>178</v>
      </c>
      <c r="F13" s="10" t="s">
        <v>140</v>
      </c>
      <c r="G13" s="10" t="s">
        <v>140</v>
      </c>
      <c r="H13" s="10" t="s">
        <v>140</v>
      </c>
      <c r="I13" s="10" t="s">
        <v>179</v>
      </c>
      <c r="J13" s="10" t="s">
        <v>136</v>
      </c>
    </row>
    <row r="14" customFormat="false" ht="43.5" hidden="false" customHeight="true" outlineLevel="0" collapsed="false">
      <c r="A14" s="10" t="s">
        <v>109</v>
      </c>
      <c r="B14" s="10" t="s">
        <v>180</v>
      </c>
      <c r="C14" s="10" t="s">
        <v>129</v>
      </c>
      <c r="D14" s="10" t="s">
        <v>129</v>
      </c>
      <c r="E14" s="10" t="s">
        <v>181</v>
      </c>
      <c r="F14" s="10" t="s">
        <v>132</v>
      </c>
      <c r="G14" s="10" t="s">
        <v>140</v>
      </c>
      <c r="H14" s="10" t="s">
        <v>140</v>
      </c>
      <c r="I14" s="10" t="s">
        <v>140</v>
      </c>
      <c r="J14" s="10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55"/>
    <col collapsed="false" customWidth="true" hidden="false" outlineLevel="0" max="5" min="4" style="1" width="20"/>
  </cols>
  <sheetData>
    <row r="1" customFormat="false" ht="15.75" hidden="false" customHeight="true" outlineLevel="0" collapsed="false">
      <c r="A1" s="2" t="s">
        <v>183</v>
      </c>
    </row>
    <row r="3" customFormat="false" ht="15" hidden="false" customHeight="true" outlineLevel="0" collapsed="false">
      <c r="A3" s="11" t="s">
        <v>184</v>
      </c>
    </row>
    <row r="4" customFormat="false" ht="15" hidden="false" customHeight="true" outlineLevel="0" collapsed="false">
      <c r="A4" s="6" t="s">
        <v>185</v>
      </c>
      <c r="B4" s="6" t="s">
        <v>186</v>
      </c>
      <c r="C4" s="6" t="s">
        <v>187</v>
      </c>
      <c r="D4" s="6" t="s">
        <v>188</v>
      </c>
      <c r="E4" s="6" t="s">
        <v>189</v>
      </c>
      <c r="F4" s="6" t="s">
        <v>190</v>
      </c>
    </row>
    <row r="5" customFormat="false" ht="15" hidden="false" customHeight="true" outlineLevel="0" collapsed="false">
      <c r="A5" s="7" t="s">
        <v>101</v>
      </c>
      <c r="B5" s="12" t="s">
        <v>191</v>
      </c>
      <c r="C5" s="12" t="s">
        <v>191</v>
      </c>
      <c r="D5" s="12" t="s">
        <v>192</v>
      </c>
      <c r="E5" s="12" t="s">
        <v>192</v>
      </c>
      <c r="F5" s="12" t="s">
        <v>192</v>
      </c>
    </row>
    <row r="6" customFormat="false" ht="15" hidden="false" customHeight="true" outlineLevel="0" collapsed="false">
      <c r="A6" s="7" t="s">
        <v>102</v>
      </c>
      <c r="B6" s="12" t="s">
        <v>191</v>
      </c>
      <c r="C6" s="12" t="s">
        <v>191</v>
      </c>
      <c r="D6" s="12" t="s">
        <v>192</v>
      </c>
      <c r="E6" s="12" t="s">
        <v>192</v>
      </c>
      <c r="F6" s="12" t="s">
        <v>192</v>
      </c>
    </row>
    <row r="7" customFormat="false" ht="15" hidden="false" customHeight="true" outlineLevel="0" collapsed="false">
      <c r="A7" s="7" t="s">
        <v>103</v>
      </c>
      <c r="B7" s="12" t="s">
        <v>193</v>
      </c>
      <c r="C7" s="12" t="s">
        <v>193</v>
      </c>
      <c r="D7" s="12" t="s">
        <v>194</v>
      </c>
      <c r="E7" s="12" t="s">
        <v>192</v>
      </c>
      <c r="F7" s="12" t="s">
        <v>192</v>
      </c>
    </row>
    <row r="9" customFormat="false" ht="15" hidden="false" customHeight="true" outlineLevel="0" collapsed="false">
      <c r="A9" s="11" t="s">
        <v>195</v>
      </c>
    </row>
    <row r="10" customFormat="false" ht="27.75" hidden="false" customHeight="true" outlineLevel="0" collapsed="false">
      <c r="A10" s="13" t="s">
        <v>196</v>
      </c>
      <c r="B10" s="10" t="s">
        <v>197</v>
      </c>
      <c r="C10" s="10"/>
    </row>
    <row r="11" customFormat="false" ht="27.75" hidden="false" customHeight="true" outlineLevel="0" collapsed="false">
      <c r="A11" s="13" t="s">
        <v>198</v>
      </c>
      <c r="B11" s="10" t="s">
        <v>199</v>
      </c>
      <c r="C11" s="10"/>
    </row>
    <row r="12" customFormat="false" ht="27.75" hidden="false" customHeight="true" outlineLevel="0" collapsed="false">
      <c r="A12" s="13" t="s">
        <v>200</v>
      </c>
      <c r="B12" s="10" t="s">
        <v>201</v>
      </c>
      <c r="C12" s="10"/>
    </row>
    <row r="13" customFormat="false" ht="27.75" hidden="false" customHeight="true" outlineLevel="0" collapsed="false">
      <c r="A13" s="13" t="s">
        <v>202</v>
      </c>
      <c r="B13" s="10" t="s">
        <v>203</v>
      </c>
      <c r="C13" s="10"/>
    </row>
    <row r="14" customFormat="false" ht="27.75" hidden="false" customHeight="true" outlineLevel="0" collapsed="false">
      <c r="A14" s="13" t="s">
        <v>204</v>
      </c>
      <c r="B14" s="10" t="s">
        <v>205</v>
      </c>
      <c r="C14" s="10"/>
    </row>
    <row r="15" customFormat="false" ht="27.75" hidden="false" customHeight="true" outlineLevel="0" collapsed="false">
      <c r="A15" s="13" t="s">
        <v>206</v>
      </c>
      <c r="B15" s="10" t="s">
        <v>207</v>
      </c>
      <c r="C15" s="10"/>
    </row>
    <row r="16" customFormat="false" ht="27.75" hidden="false" customHeight="true" outlineLevel="0" collapsed="false">
      <c r="A16" s="13" t="s">
        <v>208</v>
      </c>
      <c r="B16" s="10" t="s">
        <v>209</v>
      </c>
      <c r="C16" s="10"/>
    </row>
    <row r="17" customFormat="false" ht="27.75" hidden="false" customHeight="true" outlineLevel="0" collapsed="false">
      <c r="A17" s="13" t="s">
        <v>210</v>
      </c>
      <c r="B17" s="10" t="s">
        <v>211</v>
      </c>
      <c r="C17" s="10"/>
    </row>
    <row r="18" customFormat="false" ht="27.75" hidden="false" customHeight="true" outlineLevel="0" collapsed="false">
      <c r="A18" s="13" t="s">
        <v>212</v>
      </c>
      <c r="B18" s="10" t="s">
        <v>213</v>
      </c>
      <c r="C18" s="10"/>
    </row>
    <row r="19" customFormat="false" ht="27.75" hidden="false" customHeight="true" outlineLevel="0" collapsed="false">
      <c r="A19" s="13" t="s">
        <v>214</v>
      </c>
      <c r="B19" s="10" t="s">
        <v>215</v>
      </c>
      <c r="C19" s="10"/>
    </row>
    <row r="21" customFormat="false" ht="30" hidden="false" customHeight="true" outlineLevel="0" collapsed="false">
      <c r="A21" s="14" t="s">
        <v>216</v>
      </c>
      <c r="B21" s="14"/>
      <c r="C21" s="14"/>
    </row>
  </sheetData>
  <mergeCells count="11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20"/>
  </cols>
  <sheetData>
    <row r="1" customFormat="false" ht="15.75" hidden="false" customHeight="true" outlineLevel="0" collapsed="false">
      <c r="A1" s="2" t="s">
        <v>217</v>
      </c>
    </row>
    <row r="3" customFormat="false" ht="15" hidden="false" customHeight="true" outlineLevel="0" collapsed="false">
      <c r="A3" s="6" t="s">
        <v>218</v>
      </c>
      <c r="B3" s="6" t="s">
        <v>219</v>
      </c>
      <c r="C3" s="6" t="s">
        <v>220</v>
      </c>
      <c r="D3" s="6" t="s">
        <v>221</v>
      </c>
      <c r="E3" s="6" t="s">
        <v>222</v>
      </c>
      <c r="F3" s="6" t="s">
        <v>223</v>
      </c>
    </row>
    <row r="4" customFormat="false" ht="15" hidden="false" customHeight="true" outlineLevel="0" collapsed="false">
      <c r="A4" s="15" t="s">
        <v>224</v>
      </c>
      <c r="B4" s="7" t="s">
        <v>225</v>
      </c>
      <c r="C4" s="7" t="n">
        <v>470403</v>
      </c>
      <c r="D4" s="7" t="n">
        <v>470403</v>
      </c>
      <c r="E4" s="7" t="n">
        <v>0</v>
      </c>
      <c r="F4" s="16" t="s">
        <v>226</v>
      </c>
    </row>
    <row r="5" customFormat="false" ht="15" hidden="false" customHeight="true" outlineLevel="0" collapsed="false">
      <c r="A5" s="15" t="s">
        <v>227</v>
      </c>
      <c r="B5" s="7" t="s">
        <v>228</v>
      </c>
      <c r="C5" s="7" t="n">
        <v>456959</v>
      </c>
      <c r="D5" s="7" t="n">
        <v>456959</v>
      </c>
      <c r="E5" s="7" t="n">
        <v>0</v>
      </c>
      <c r="F5" s="16" t="s">
        <v>226</v>
      </c>
    </row>
    <row r="6" customFormat="false" ht="15" hidden="false" customHeight="true" outlineLevel="0" collapsed="false">
      <c r="A6" s="15" t="s">
        <v>229</v>
      </c>
      <c r="B6" s="7" t="s">
        <v>230</v>
      </c>
      <c r="C6" s="7" t="n">
        <v>372181</v>
      </c>
      <c r="D6" s="7" t="n">
        <v>372181</v>
      </c>
      <c r="E6" s="7" t="n">
        <v>0</v>
      </c>
      <c r="F6" s="16" t="s">
        <v>226</v>
      </c>
    </row>
    <row r="7" customFormat="false" ht="15" hidden="false" customHeight="true" outlineLevel="0" collapsed="false">
      <c r="A7" s="15" t="s">
        <v>231</v>
      </c>
      <c r="B7" s="7" t="s">
        <v>232</v>
      </c>
      <c r="C7" s="7" t="n">
        <v>412432</v>
      </c>
      <c r="D7" s="7" t="n">
        <v>412432</v>
      </c>
      <c r="E7" s="7" t="n">
        <v>0</v>
      </c>
      <c r="F7" s="16" t="s">
        <v>226</v>
      </c>
    </row>
    <row r="8" customFormat="false" ht="15" hidden="false" customHeight="true" outlineLevel="0" collapsed="false">
      <c r="A8" s="15" t="s">
        <v>233</v>
      </c>
      <c r="B8" s="7" t="s">
        <v>234</v>
      </c>
      <c r="C8" s="7" t="n">
        <v>461312</v>
      </c>
      <c r="D8" s="7" t="n">
        <v>461312</v>
      </c>
      <c r="E8" s="7" t="n">
        <v>0</v>
      </c>
      <c r="F8" s="16" t="s">
        <v>226</v>
      </c>
    </row>
    <row r="9" customFormat="false" ht="15" hidden="false" customHeight="true" outlineLevel="0" collapsed="false">
      <c r="A9" s="15" t="s">
        <v>235</v>
      </c>
      <c r="B9" s="7" t="s">
        <v>236</v>
      </c>
      <c r="C9" s="7" t="n">
        <v>157593</v>
      </c>
      <c r="D9" s="7" t="n">
        <v>157593</v>
      </c>
      <c r="E9" s="7" t="n">
        <v>0</v>
      </c>
      <c r="F9" s="16" t="s">
        <v>226</v>
      </c>
    </row>
    <row r="10" customFormat="false" ht="15" hidden="false" customHeight="true" outlineLevel="0" collapsed="false">
      <c r="A10" s="15" t="s">
        <v>237</v>
      </c>
      <c r="B10" s="7" t="s">
        <v>238</v>
      </c>
      <c r="C10" s="7" t="n">
        <v>158984</v>
      </c>
      <c r="D10" s="7" t="n">
        <v>158984</v>
      </c>
      <c r="E10" s="7" t="n">
        <v>0</v>
      </c>
      <c r="F10" s="16" t="s">
        <v>226</v>
      </c>
    </row>
    <row r="11" customFormat="false" ht="15" hidden="false" customHeight="true" outlineLevel="0" collapsed="false">
      <c r="A11" s="15" t="s">
        <v>239</v>
      </c>
      <c r="B11" s="7" t="s">
        <v>240</v>
      </c>
      <c r="C11" s="7" t="n">
        <v>138383</v>
      </c>
      <c r="D11" s="7" t="n">
        <v>138383</v>
      </c>
      <c r="E11" s="7" t="n">
        <v>0</v>
      </c>
      <c r="F11" s="16" t="s">
        <v>226</v>
      </c>
    </row>
    <row r="12" customFormat="false" ht="15" hidden="false" customHeight="true" outlineLevel="0" collapsed="false">
      <c r="A12" s="15" t="s">
        <v>241</v>
      </c>
      <c r="B12" s="7" t="s">
        <v>242</v>
      </c>
      <c r="C12" s="7" t="n">
        <v>153972</v>
      </c>
      <c r="D12" s="7" t="n">
        <v>153972</v>
      </c>
      <c r="E12" s="7" t="n">
        <v>0</v>
      </c>
      <c r="F12" s="16" t="s">
        <v>226</v>
      </c>
    </row>
    <row r="13" customFormat="false" ht="15" hidden="false" customHeight="true" outlineLevel="0" collapsed="false">
      <c r="A13" s="15" t="s">
        <v>243</v>
      </c>
      <c r="B13" s="7" t="s">
        <v>244</v>
      </c>
      <c r="C13" s="7" t="n">
        <v>168491</v>
      </c>
      <c r="D13" s="7" t="n">
        <v>168491</v>
      </c>
      <c r="E13" s="7" t="n">
        <v>0</v>
      </c>
      <c r="F13" s="16" t="s">
        <v>226</v>
      </c>
    </row>
    <row r="15" customFormat="false" ht="31.5" hidden="false" customHeight="true" outlineLevel="0" collapsed="false">
      <c r="A15" s="15" t="s">
        <v>245</v>
      </c>
      <c r="B15" s="7" t="s">
        <v>246</v>
      </c>
      <c r="C15" s="10" t="s">
        <v>247</v>
      </c>
      <c r="D15" s="10"/>
      <c r="E15" s="10"/>
      <c r="F15" s="10"/>
    </row>
    <row r="16" customFormat="false" ht="31.5" hidden="false" customHeight="true" outlineLevel="0" collapsed="false">
      <c r="A16" s="15" t="s">
        <v>248</v>
      </c>
      <c r="B16" s="7" t="s">
        <v>249</v>
      </c>
      <c r="C16" s="10" t="s">
        <v>250</v>
      </c>
      <c r="D16" s="10"/>
      <c r="E16" s="10"/>
      <c r="F16" s="10"/>
    </row>
    <row r="17" customFormat="false" ht="31.5" hidden="false" customHeight="true" outlineLevel="0" collapsed="false">
      <c r="A17" s="15" t="s">
        <v>251</v>
      </c>
      <c r="B17" s="7" t="s">
        <v>252</v>
      </c>
      <c r="C17" s="10" t="s">
        <v>253</v>
      </c>
      <c r="D17" s="10"/>
      <c r="E17" s="10"/>
      <c r="F17" s="10"/>
    </row>
    <row r="19" customFormat="false" ht="45" hidden="false" customHeight="true" outlineLevel="0" collapsed="false">
      <c r="A19" s="14" t="s">
        <v>254</v>
      </c>
      <c r="B19" s="14"/>
      <c r="C19" s="14"/>
      <c r="D19" s="14"/>
      <c r="E19" s="14"/>
      <c r="F19" s="14"/>
    </row>
    <row r="21" customFormat="false" ht="15" hidden="false" customHeight="true" outlineLevel="0" collapsed="false">
      <c r="A21" s="17" t="s">
        <v>255</v>
      </c>
      <c r="B21" s="17"/>
      <c r="C21" s="17"/>
      <c r="D21" s="17"/>
      <c r="E21" s="17"/>
      <c r="F21" s="17"/>
    </row>
    <row r="22" customFormat="false" ht="15" hidden="false" customHeight="true" outlineLevel="0" collapsed="false">
      <c r="A22" s="18" t="s">
        <v>218</v>
      </c>
      <c r="B22" s="18" t="s">
        <v>219</v>
      </c>
      <c r="C22" s="18" t="s">
        <v>220</v>
      </c>
      <c r="D22" s="18" t="s">
        <v>221</v>
      </c>
      <c r="E22" s="18" t="s">
        <v>222</v>
      </c>
      <c r="F22" s="18" t="s">
        <v>223</v>
      </c>
    </row>
    <row r="23" customFormat="false" ht="15" hidden="false" customHeight="true" outlineLevel="0" collapsed="false">
      <c r="A23" s="15" t="s">
        <v>256</v>
      </c>
      <c r="B23" s="7" t="s">
        <v>257</v>
      </c>
      <c r="C23" s="7" t="n">
        <v>464715</v>
      </c>
      <c r="D23" s="7" t="n">
        <v>464715</v>
      </c>
      <c r="E23" s="7" t="n">
        <v>0</v>
      </c>
      <c r="F23" s="16" t="s">
        <v>226</v>
      </c>
    </row>
    <row r="24" customFormat="false" ht="15" hidden="false" customHeight="true" outlineLevel="0" collapsed="false">
      <c r="A24" s="15" t="s">
        <v>258</v>
      </c>
      <c r="B24" s="7" t="s">
        <v>259</v>
      </c>
      <c r="C24" s="7" t="n">
        <v>449360</v>
      </c>
      <c r="D24" s="7" t="n">
        <v>449360</v>
      </c>
      <c r="E24" s="7" t="n">
        <v>0</v>
      </c>
      <c r="F24" s="16" t="s">
        <v>226</v>
      </c>
    </row>
    <row r="25" customFormat="false" ht="15" hidden="false" customHeight="true" outlineLevel="0" collapsed="false">
      <c r="A25" s="15" t="s">
        <v>260</v>
      </c>
      <c r="B25" s="7" t="s">
        <v>261</v>
      </c>
      <c r="C25" s="7" t="n">
        <v>346747</v>
      </c>
      <c r="D25" s="7" t="n">
        <v>346747</v>
      </c>
      <c r="E25" s="7" t="n">
        <v>0</v>
      </c>
      <c r="F25" s="16" t="s">
        <v>226</v>
      </c>
    </row>
    <row r="26" customFormat="false" ht="15" hidden="false" customHeight="true" outlineLevel="0" collapsed="false">
      <c r="A26" s="15" t="s">
        <v>262</v>
      </c>
      <c r="B26" s="7" t="s">
        <v>263</v>
      </c>
      <c r="C26" s="7" t="n">
        <v>384448</v>
      </c>
      <c r="D26" s="7" t="n">
        <v>384448</v>
      </c>
      <c r="E26" s="7" t="n">
        <v>0</v>
      </c>
      <c r="F26" s="16" t="s">
        <v>226</v>
      </c>
    </row>
    <row r="27" customFormat="false" ht="15" hidden="false" customHeight="true" outlineLevel="0" collapsed="false">
      <c r="A27" s="15" t="s">
        <v>264</v>
      </c>
      <c r="B27" s="7" t="s">
        <v>265</v>
      </c>
      <c r="C27" s="7" t="n">
        <v>443366</v>
      </c>
      <c r="D27" s="7" t="n">
        <v>443366</v>
      </c>
      <c r="E27" s="7" t="n">
        <v>0</v>
      </c>
      <c r="F27" s="16" t="s">
        <v>226</v>
      </c>
    </row>
    <row r="29" customFormat="false" ht="57.75" hidden="false" customHeight="true" outlineLevel="0" collapsed="false">
      <c r="A29" s="14" t="s">
        <v>266</v>
      </c>
      <c r="B29" s="14"/>
      <c r="C29" s="14"/>
      <c r="D29" s="14"/>
      <c r="E29" s="14"/>
      <c r="F29" s="14"/>
    </row>
  </sheetData>
  <mergeCells count="6">
    <mergeCell ref="C15:F15"/>
    <mergeCell ref="C16:F16"/>
    <mergeCell ref="C17:F17"/>
    <mergeCell ref="A19:F19"/>
    <mergeCell ref="A21:F21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6" min="4" style="1" width="16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2" t="s">
        <v>267</v>
      </c>
    </row>
    <row r="3" customFormat="false" ht="23.25" hidden="false" customHeight="true" outlineLevel="0" collapsed="false">
      <c r="A3" s="6" t="s">
        <v>97</v>
      </c>
      <c r="B3" s="6" t="s">
        <v>185</v>
      </c>
      <c r="C3" s="6" t="s">
        <v>122</v>
      </c>
      <c r="D3" s="6" t="s">
        <v>268</v>
      </c>
      <c r="E3" s="6" t="s">
        <v>269</v>
      </c>
      <c r="F3" s="6" t="s">
        <v>270</v>
      </c>
      <c r="G3" s="6" t="s">
        <v>271</v>
      </c>
    </row>
    <row r="4" customFormat="false" ht="39.75" hidden="false" customHeight="true" outlineLevel="0" collapsed="false">
      <c r="A4" s="10" t="n">
        <v>2019</v>
      </c>
      <c r="B4" s="10" t="s">
        <v>272</v>
      </c>
      <c r="C4" s="10" t="s">
        <v>273</v>
      </c>
      <c r="D4" s="10" t="n">
        <v>449002</v>
      </c>
      <c r="E4" s="10" t="n">
        <v>-7957</v>
      </c>
      <c r="F4" s="10" t="n">
        <v>456959</v>
      </c>
      <c r="G4" s="10" t="s">
        <v>274</v>
      </c>
    </row>
    <row r="5" customFormat="false" ht="39.75" hidden="false" customHeight="true" outlineLevel="0" collapsed="false">
      <c r="A5" s="10" t="n">
        <v>2019</v>
      </c>
      <c r="B5" s="10" t="s">
        <v>275</v>
      </c>
      <c r="C5" s="10" t="s">
        <v>276</v>
      </c>
      <c r="D5" s="10" t="n">
        <v>151113</v>
      </c>
      <c r="E5" s="10" t="n">
        <v>-7871</v>
      </c>
      <c r="F5" s="10" t="n">
        <v>158984</v>
      </c>
      <c r="G5" s="10" t="s">
        <v>277</v>
      </c>
    </row>
    <row r="6" customFormat="false" ht="39.75" hidden="false" customHeight="true" outlineLevel="0" collapsed="false">
      <c r="A6" s="10" t="n">
        <v>2019</v>
      </c>
      <c r="B6" s="10" t="s">
        <v>278</v>
      </c>
      <c r="C6" s="10" t="s">
        <v>276</v>
      </c>
      <c r="D6" s="10" t="n">
        <v>451361</v>
      </c>
      <c r="E6" s="10" t="n">
        <v>2001</v>
      </c>
      <c r="F6" s="10" t="n">
        <v>449360</v>
      </c>
      <c r="G6" s="10" t="s">
        <v>277</v>
      </c>
    </row>
    <row r="7" customFormat="false" ht="39.75" hidden="false" customHeight="true" outlineLevel="0" collapsed="false">
      <c r="A7" s="10" t="n">
        <v>2018</v>
      </c>
      <c r="B7" s="10" t="s">
        <v>272</v>
      </c>
      <c r="C7" s="10" t="s">
        <v>279</v>
      </c>
      <c r="D7" s="10" t="n">
        <v>467044</v>
      </c>
      <c r="E7" s="10" t="n">
        <v>-3359</v>
      </c>
      <c r="F7" s="10" t="n">
        <v>470403</v>
      </c>
      <c r="G7" s="10" t="s">
        <v>280</v>
      </c>
    </row>
    <row r="8" customFormat="false" ht="39.75" hidden="false" customHeight="true" outlineLevel="0" collapsed="false">
      <c r="A8" s="10" t="n">
        <v>2019</v>
      </c>
      <c r="B8" s="10" t="s">
        <v>272</v>
      </c>
      <c r="C8" s="10" t="s">
        <v>281</v>
      </c>
      <c r="D8" s="10" t="n">
        <v>449002</v>
      </c>
      <c r="E8" s="10" t="n">
        <v>-7957</v>
      </c>
      <c r="F8" s="10" t="n">
        <v>456959</v>
      </c>
      <c r="G8" s="10" t="s">
        <v>282</v>
      </c>
    </row>
    <row r="9" customFormat="false" ht="39.75" hidden="false" customHeight="true" outlineLevel="0" collapsed="false">
      <c r="A9" s="10" t="n">
        <v>2020</v>
      </c>
      <c r="B9" s="10" t="s">
        <v>272</v>
      </c>
      <c r="C9" s="10" t="s">
        <v>279</v>
      </c>
      <c r="D9" s="10" t="n">
        <v>366138</v>
      </c>
      <c r="E9" s="10" t="n">
        <v>-6043</v>
      </c>
      <c r="F9" s="10" t="n">
        <v>372181</v>
      </c>
      <c r="G9" s="10" t="s">
        <v>282</v>
      </c>
    </row>
    <row r="10" customFormat="false" ht="39.75" hidden="false" customHeight="true" outlineLevel="0" collapsed="false">
      <c r="A10" s="10" t="n">
        <v>2018</v>
      </c>
      <c r="B10" s="10" t="s">
        <v>275</v>
      </c>
      <c r="C10" s="10" t="s">
        <v>279</v>
      </c>
      <c r="D10" s="10" t="n">
        <v>151417</v>
      </c>
      <c r="E10" s="10" t="n">
        <v>-6176</v>
      </c>
      <c r="F10" s="10" t="n">
        <v>157593</v>
      </c>
      <c r="G10" s="10" t="s">
        <v>282</v>
      </c>
    </row>
    <row r="11" customFormat="false" ht="39.75" hidden="false" customHeight="true" outlineLevel="0" collapsed="false">
      <c r="A11" s="10" t="n">
        <v>2019</v>
      </c>
      <c r="B11" s="10" t="s">
        <v>275</v>
      </c>
      <c r="C11" s="10" t="s">
        <v>279</v>
      </c>
      <c r="D11" s="10" t="n">
        <v>151113</v>
      </c>
      <c r="E11" s="10" t="n">
        <v>-7871</v>
      </c>
      <c r="F11" s="10" t="n">
        <v>158984</v>
      </c>
      <c r="G11" s="10" t="s">
        <v>282</v>
      </c>
    </row>
    <row r="12" customFormat="false" ht="39.75" hidden="false" customHeight="true" outlineLevel="0" collapsed="false">
      <c r="A12" s="10" t="n">
        <v>2020</v>
      </c>
      <c r="B12" s="10" t="s">
        <v>275</v>
      </c>
      <c r="C12" s="10" t="s">
        <v>279</v>
      </c>
      <c r="D12" s="10" t="n">
        <v>131714</v>
      </c>
      <c r="E12" s="10" t="n">
        <v>-6669</v>
      </c>
      <c r="F12" s="10" t="n">
        <v>138383</v>
      </c>
      <c r="G12" s="10" t="s">
        <v>282</v>
      </c>
    </row>
    <row r="13" customFormat="false" ht="39.75" hidden="false" customHeight="true" outlineLevel="0" collapsed="false">
      <c r="A13" s="10" t="n">
        <v>2018</v>
      </c>
      <c r="B13" s="10" t="s">
        <v>278</v>
      </c>
      <c r="C13" s="10" t="s">
        <v>279</v>
      </c>
      <c r="D13" s="10" t="n">
        <v>469418</v>
      </c>
      <c r="E13" s="10" t="n">
        <v>4703</v>
      </c>
      <c r="F13" s="10" t="n">
        <v>464715</v>
      </c>
      <c r="G13" s="10" t="s">
        <v>282</v>
      </c>
    </row>
    <row r="14" customFormat="false" ht="39.75" hidden="false" customHeight="true" outlineLevel="0" collapsed="false">
      <c r="A14" s="10" t="n">
        <v>2019</v>
      </c>
      <c r="B14" s="10" t="s">
        <v>278</v>
      </c>
      <c r="C14" s="10" t="s">
        <v>279</v>
      </c>
      <c r="D14" s="10" t="n">
        <v>451361</v>
      </c>
      <c r="E14" s="10" t="n">
        <v>2001</v>
      </c>
      <c r="F14" s="10" t="n">
        <v>449360</v>
      </c>
      <c r="G14" s="10" t="s">
        <v>282</v>
      </c>
    </row>
    <row r="15" customFormat="false" ht="39.75" hidden="false" customHeight="true" outlineLevel="0" collapsed="false">
      <c r="A15" s="10" t="n">
        <v>2020</v>
      </c>
      <c r="B15" s="10" t="s">
        <v>278</v>
      </c>
      <c r="C15" s="10" t="s">
        <v>279</v>
      </c>
      <c r="D15" s="10" t="n">
        <v>348279</v>
      </c>
      <c r="E15" s="10" t="n">
        <v>1532</v>
      </c>
      <c r="F15" s="10" t="n">
        <v>346747</v>
      </c>
      <c r="G15" s="10" t="s">
        <v>283</v>
      </c>
    </row>
    <row r="18" customFormat="false" ht="15" hidden="false" customHeight="true" outlineLevel="0" collapsed="false">
      <c r="A18" s="19" t="s">
        <v>284</v>
      </c>
    </row>
    <row r="19" customFormat="false" ht="60" hidden="false" customHeight="true" outlineLevel="0" collapsed="false">
      <c r="A19" s="14" t="s">
        <v>285</v>
      </c>
      <c r="B19" s="14"/>
      <c r="C19" s="14"/>
      <c r="D19" s="14"/>
      <c r="E19" s="14"/>
      <c r="F19" s="14"/>
      <c r="G19" s="14"/>
    </row>
  </sheetData>
  <mergeCells count="1"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32"/>
    <col collapsed="false" customWidth="true" hidden="false" outlineLevel="0" max="6" min="6" style="1" width="36"/>
    <col collapsed="false" customWidth="true" hidden="false" outlineLevel="0" max="7" min="7" style="1" width="26"/>
    <col collapsed="false" customWidth="true" hidden="false" outlineLevel="0" max="8" min="8" style="1" width="20"/>
    <col collapsed="false" customWidth="true" hidden="false" outlineLevel="0" max="9" min="9" style="1" width="40"/>
  </cols>
  <sheetData>
    <row r="1" customFormat="false" ht="15.75" hidden="false" customHeight="true" outlineLevel="0" collapsed="false">
      <c r="A1" s="2" t="s">
        <v>286</v>
      </c>
    </row>
    <row r="3" customFormat="false" ht="15" hidden="false" customHeight="true" outlineLevel="0" collapsed="false">
      <c r="A3" s="6" t="s">
        <v>287</v>
      </c>
      <c r="B3" s="6" t="s">
        <v>97</v>
      </c>
      <c r="C3" s="6" t="s">
        <v>124</v>
      </c>
      <c r="D3" s="6" t="s">
        <v>288</v>
      </c>
      <c r="E3" s="6" t="s">
        <v>289</v>
      </c>
      <c r="F3" s="6" t="s">
        <v>122</v>
      </c>
      <c r="G3" s="6" t="s">
        <v>290</v>
      </c>
      <c r="H3" s="6" t="s">
        <v>291</v>
      </c>
      <c r="I3" s="6" t="s">
        <v>292</v>
      </c>
    </row>
    <row r="4" customFormat="false" ht="39.75" hidden="false" customHeight="true" outlineLevel="0" collapsed="false">
      <c r="A4" s="10" t="s">
        <v>293</v>
      </c>
      <c r="B4" s="10" t="s">
        <v>294</v>
      </c>
      <c r="C4" s="10" t="s">
        <v>295</v>
      </c>
      <c r="D4" s="10" t="s">
        <v>296</v>
      </c>
      <c r="E4" s="10" t="s">
        <v>103</v>
      </c>
      <c r="F4" s="10" t="s">
        <v>297</v>
      </c>
      <c r="G4" s="10" t="s">
        <v>298</v>
      </c>
      <c r="H4" s="10" t="s">
        <v>299</v>
      </c>
      <c r="I4" s="10" t="s">
        <v>300</v>
      </c>
    </row>
    <row r="5" customFormat="false" ht="39.75" hidden="false" customHeight="true" outlineLevel="0" collapsed="false">
      <c r="A5" s="10" t="s">
        <v>301</v>
      </c>
      <c r="B5" s="10" t="s">
        <v>188</v>
      </c>
      <c r="C5" s="10" t="s">
        <v>302</v>
      </c>
      <c r="D5" s="10" t="s">
        <v>296</v>
      </c>
      <c r="E5" s="10" t="s">
        <v>103</v>
      </c>
      <c r="F5" s="10" t="s">
        <v>303</v>
      </c>
      <c r="G5" s="10" t="s">
        <v>304</v>
      </c>
      <c r="H5" s="10" t="s">
        <v>305</v>
      </c>
      <c r="I5" s="10" t="s">
        <v>306</v>
      </c>
    </row>
    <row r="6" customFormat="false" ht="39.75" hidden="false" customHeight="true" outlineLevel="0" collapsed="false">
      <c r="A6" s="10" t="s">
        <v>307</v>
      </c>
      <c r="B6" s="10" t="s">
        <v>308</v>
      </c>
      <c r="C6" s="10" t="s">
        <v>295</v>
      </c>
      <c r="D6" s="10" t="s">
        <v>296</v>
      </c>
      <c r="E6" s="10" t="s">
        <v>103</v>
      </c>
      <c r="F6" s="10" t="s">
        <v>309</v>
      </c>
      <c r="G6" s="10" t="s">
        <v>310</v>
      </c>
      <c r="H6" s="10" t="s">
        <v>311</v>
      </c>
      <c r="I6" s="10" t="s">
        <v>312</v>
      </c>
    </row>
    <row r="7" customFormat="false" ht="39.75" hidden="false" customHeight="true" outlineLevel="0" collapsed="false">
      <c r="A7" s="10" t="s">
        <v>313</v>
      </c>
      <c r="B7" s="10" t="s">
        <v>314</v>
      </c>
      <c r="C7" s="10" t="s">
        <v>315</v>
      </c>
      <c r="D7" s="10" t="s">
        <v>296</v>
      </c>
      <c r="E7" s="10" t="s">
        <v>316</v>
      </c>
      <c r="F7" s="10" t="s">
        <v>317</v>
      </c>
      <c r="G7" s="10" t="s">
        <v>318</v>
      </c>
      <c r="H7" s="10" t="s">
        <v>299</v>
      </c>
      <c r="I7" s="10" t="s">
        <v>319</v>
      </c>
    </row>
    <row r="8" customFormat="false" ht="39.75" hidden="false" customHeight="true" outlineLevel="0" collapsed="false">
      <c r="A8" s="10" t="s">
        <v>320</v>
      </c>
      <c r="B8" s="10" t="s">
        <v>321</v>
      </c>
      <c r="C8" s="10" t="s">
        <v>322</v>
      </c>
      <c r="D8" s="10" t="s">
        <v>323</v>
      </c>
      <c r="E8" s="10" t="s">
        <v>324</v>
      </c>
      <c r="F8" s="10" t="s">
        <v>325</v>
      </c>
      <c r="G8" s="10" t="s">
        <v>298</v>
      </c>
      <c r="H8" s="10" t="s">
        <v>326</v>
      </c>
      <c r="I8" s="10" t="s">
        <v>327</v>
      </c>
    </row>
    <row r="9" customFormat="false" ht="39.75" hidden="false" customHeight="true" outlineLevel="0" collapsed="false">
      <c r="A9" s="10" t="s">
        <v>328</v>
      </c>
      <c r="B9" s="10" t="s">
        <v>187</v>
      </c>
      <c r="C9" s="10" t="s">
        <v>322</v>
      </c>
      <c r="D9" s="10" t="s">
        <v>329</v>
      </c>
      <c r="E9" s="10" t="s">
        <v>330</v>
      </c>
      <c r="F9" s="10" t="s">
        <v>331</v>
      </c>
      <c r="G9" s="10" t="s">
        <v>298</v>
      </c>
      <c r="H9" s="10" t="s">
        <v>326</v>
      </c>
      <c r="I9" s="10" t="s">
        <v>332</v>
      </c>
    </row>
    <row r="10" customFormat="false" ht="39.75" hidden="false" customHeight="true" outlineLevel="0" collapsed="false">
      <c r="A10" s="10" t="s">
        <v>333</v>
      </c>
      <c r="B10" s="10" t="s">
        <v>334</v>
      </c>
      <c r="C10" s="10" t="s">
        <v>322</v>
      </c>
      <c r="D10" s="10" t="s">
        <v>323</v>
      </c>
      <c r="E10" s="10" t="s">
        <v>335</v>
      </c>
      <c r="F10" s="10" t="s">
        <v>336</v>
      </c>
      <c r="G10" s="10" t="s">
        <v>298</v>
      </c>
      <c r="H10" s="10" t="s">
        <v>97</v>
      </c>
      <c r="I10" s="10" t="s">
        <v>337</v>
      </c>
    </row>
    <row r="11" customFormat="false" ht="39.75" hidden="false" customHeight="true" outlineLevel="0" collapsed="false">
      <c r="A11" s="10" t="s">
        <v>338</v>
      </c>
      <c r="B11" s="10" t="s">
        <v>308</v>
      </c>
      <c r="C11" s="10" t="s">
        <v>322</v>
      </c>
      <c r="D11" s="10" t="s">
        <v>329</v>
      </c>
      <c r="E11" s="10" t="s">
        <v>339</v>
      </c>
      <c r="F11" s="10" t="s">
        <v>340</v>
      </c>
      <c r="G11" s="10" t="s">
        <v>298</v>
      </c>
      <c r="H11" s="10" t="s">
        <v>326</v>
      </c>
      <c r="I11" s="10" t="s">
        <v>332</v>
      </c>
    </row>
    <row r="12" customFormat="false" ht="39.75" hidden="false" customHeight="true" outlineLevel="0" collapsed="false">
      <c r="A12" s="10" t="s">
        <v>341</v>
      </c>
      <c r="B12" s="10" t="s">
        <v>308</v>
      </c>
      <c r="C12" s="10" t="s">
        <v>322</v>
      </c>
      <c r="D12" s="10" t="s">
        <v>329</v>
      </c>
      <c r="E12" s="10" t="s">
        <v>342</v>
      </c>
      <c r="F12" s="10" t="s">
        <v>340</v>
      </c>
      <c r="G12" s="10" t="s">
        <v>298</v>
      </c>
      <c r="H12" s="10" t="s">
        <v>326</v>
      </c>
      <c r="I12" s="10" t="s">
        <v>332</v>
      </c>
    </row>
    <row r="13" customFormat="false" ht="39.75" hidden="false" customHeight="true" outlineLevel="0" collapsed="false">
      <c r="A13" s="10" t="s">
        <v>343</v>
      </c>
      <c r="B13" s="10" t="s">
        <v>344</v>
      </c>
      <c r="C13" s="10" t="s">
        <v>345</v>
      </c>
      <c r="D13" s="10" t="s">
        <v>346</v>
      </c>
      <c r="E13" s="10" t="s">
        <v>347</v>
      </c>
      <c r="F13" s="10" t="s">
        <v>348</v>
      </c>
      <c r="G13" s="10" t="s">
        <v>298</v>
      </c>
      <c r="H13" s="10" t="s">
        <v>299</v>
      </c>
      <c r="I13" s="10" t="s">
        <v>349</v>
      </c>
    </row>
    <row r="14" customFormat="false" ht="39.75" hidden="false" customHeight="true" outlineLevel="0" collapsed="false">
      <c r="A14" s="10" t="s">
        <v>350</v>
      </c>
      <c r="B14" s="10" t="s">
        <v>351</v>
      </c>
      <c r="C14" s="10" t="s">
        <v>322</v>
      </c>
      <c r="D14" s="10" t="s">
        <v>352</v>
      </c>
      <c r="E14" s="10" t="s">
        <v>353</v>
      </c>
      <c r="F14" s="10" t="s">
        <v>354</v>
      </c>
      <c r="G14" s="10" t="s">
        <v>355</v>
      </c>
      <c r="H14" s="10" t="s">
        <v>135</v>
      </c>
      <c r="I14" s="10" t="s">
        <v>332</v>
      </c>
    </row>
    <row r="15" customFormat="false" ht="39.75" hidden="false" customHeight="true" outlineLevel="0" collapsed="false">
      <c r="A15" s="10" t="s">
        <v>356</v>
      </c>
      <c r="B15" s="10" t="s">
        <v>357</v>
      </c>
      <c r="C15" s="10" t="s">
        <v>358</v>
      </c>
      <c r="D15" s="10" t="s">
        <v>359</v>
      </c>
      <c r="E15" s="10" t="s">
        <v>360</v>
      </c>
      <c r="F15" s="10" t="s">
        <v>361</v>
      </c>
      <c r="G15" s="10" t="s">
        <v>362</v>
      </c>
      <c r="H15" s="10" t="s">
        <v>363</v>
      </c>
      <c r="I15" s="10" t="s">
        <v>364</v>
      </c>
    </row>
    <row r="16" customFormat="false" ht="39.75" hidden="false" customHeight="true" outlineLevel="0" collapsed="false">
      <c r="A16" s="10" t="s">
        <v>365</v>
      </c>
      <c r="B16" s="10" t="s">
        <v>366</v>
      </c>
      <c r="C16" s="10" t="s">
        <v>367</v>
      </c>
      <c r="D16" s="10" t="s">
        <v>368</v>
      </c>
      <c r="E16" s="10" t="s">
        <v>369</v>
      </c>
      <c r="F16" s="10" t="s">
        <v>370</v>
      </c>
      <c r="G16" s="10" t="s">
        <v>371</v>
      </c>
      <c r="H16" s="10" t="s">
        <v>372</v>
      </c>
      <c r="I16" s="10" t="s">
        <v>373</v>
      </c>
    </row>
    <row r="17" customFormat="false" ht="39.75" hidden="false" customHeight="true" outlineLevel="0" collapsed="false">
      <c r="A17" s="10" t="s">
        <v>374</v>
      </c>
      <c r="B17" s="10" t="s">
        <v>187</v>
      </c>
      <c r="C17" s="10" t="s">
        <v>295</v>
      </c>
      <c r="D17" s="10" t="s">
        <v>346</v>
      </c>
      <c r="E17" s="10" t="s">
        <v>375</v>
      </c>
      <c r="F17" s="10" t="s">
        <v>376</v>
      </c>
      <c r="G17" s="10" t="s">
        <v>362</v>
      </c>
      <c r="H17" s="10" t="s">
        <v>377</v>
      </c>
      <c r="I17" s="10" t="s">
        <v>378</v>
      </c>
    </row>
    <row r="18" customFormat="false" ht="39.75" hidden="false" customHeight="true" outlineLevel="0" collapsed="false">
      <c r="A18" s="10" t="s">
        <v>379</v>
      </c>
      <c r="B18" s="10" t="s">
        <v>140</v>
      </c>
      <c r="C18" s="10" t="s">
        <v>140</v>
      </c>
      <c r="D18" s="10" t="s">
        <v>380</v>
      </c>
      <c r="E18" s="10" t="s">
        <v>381</v>
      </c>
      <c r="F18" s="10" t="s">
        <v>382</v>
      </c>
      <c r="G18" s="10" t="s">
        <v>383</v>
      </c>
      <c r="H18" s="10" t="s">
        <v>136</v>
      </c>
      <c r="I18" s="10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2026-09-14T06:35:36Z</dcterms:created>
  <dc:creator>openpyxl</dc:creator>
  <dc:description/>
  <dc:language>en-US</dc:language>
  <cp:lastModifiedBy/>
  <dcterms:modified xsi:type="dcterms:W3CDTF">2026-09-16T13:58:40Z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